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B:\SQL\"/>
    </mc:Choice>
  </mc:AlternateContent>
  <xr:revisionPtr revIDLastSave="0" documentId="13_ncr:1_{ED02D9FE-EEF9-4CFF-A75F-BE73EFC9E7FE}" xr6:coauthVersionLast="47" xr6:coauthVersionMax="47" xr10:uidLastSave="{00000000-0000-0000-0000-000000000000}"/>
  <bookViews>
    <workbookView xWindow="-108" yWindow="-108" windowWidth="23256" windowHeight="12456" xr2:uid="{00000000-000D-0000-FFFF-FFFF00000000}"/>
  </bookViews>
  <sheets>
    <sheet name="Dashboard" sheetId="7" r:id="rId1"/>
    <sheet name="Raw data" sheetId="2" r:id="rId2"/>
    <sheet name="Summary Statistics" sheetId="3" r:id="rId3"/>
    <sheet name="Pivot Analysis" sheetId="4" r:id="rId4"/>
    <sheet name="Charts" sheetId="6" r:id="rId5"/>
  </sheets>
  <definedNames>
    <definedName name="Slicer_Default_Flag">#N/A</definedName>
    <definedName name="Slicer_Loan_Type">#N/A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7" l="1"/>
  <c r="M4" i="7"/>
  <c r="I4" i="7"/>
  <c r="E4" i="7"/>
  <c r="E4" i="3"/>
  <c r="E5" i="3"/>
  <c r="F8" i="3"/>
  <c r="D8" i="3"/>
  <c r="C8" i="3"/>
  <c r="B8" i="3"/>
  <c r="F5" i="3"/>
  <c r="F6" i="3"/>
  <c r="F7" i="3"/>
  <c r="E6" i="3"/>
  <c r="E7" i="3"/>
  <c r="D5" i="3"/>
  <c r="D6" i="3"/>
  <c r="D7" i="3"/>
  <c r="C5" i="3"/>
  <c r="C6" i="3"/>
  <c r="C7" i="3"/>
  <c r="B5" i="3"/>
  <c r="B6" i="3"/>
  <c r="B7" i="3"/>
  <c r="F4" i="3"/>
  <c r="D4" i="3"/>
  <c r="C4" i="3"/>
  <c r="B4" i="3"/>
  <c r="G3" i="2"/>
  <c r="H3" i="2" s="1"/>
  <c r="I3" i="2" s="1"/>
  <c r="G4" i="2"/>
  <c r="H4" i="2"/>
  <c r="I4" i="2" s="1"/>
  <c r="G5" i="2"/>
  <c r="H5" i="2" s="1"/>
  <c r="I5" i="2" s="1"/>
  <c r="G6" i="2"/>
  <c r="H6" i="2" s="1"/>
  <c r="I6" i="2" s="1"/>
  <c r="G7" i="2"/>
  <c r="H7" i="2"/>
  <c r="I7" i="2" s="1"/>
  <c r="G8" i="2"/>
  <c r="H8" i="2"/>
  <c r="I8" i="2"/>
  <c r="G9" i="2"/>
  <c r="H9" i="2"/>
  <c r="I9" i="2"/>
  <c r="G10" i="2"/>
  <c r="H10" i="2" s="1"/>
  <c r="I10" i="2" s="1"/>
  <c r="G11" i="2"/>
  <c r="H11" i="2" s="1"/>
  <c r="I11" i="2" s="1"/>
  <c r="G12" i="2"/>
  <c r="H12" i="2"/>
  <c r="I12" i="2"/>
  <c r="G13" i="2"/>
  <c r="H13" i="2" s="1"/>
  <c r="I13" i="2" s="1"/>
  <c r="G14" i="2"/>
  <c r="H14" i="2"/>
  <c r="I14" i="2" s="1"/>
  <c r="G15" i="2"/>
  <c r="H15" i="2"/>
  <c r="I15" i="2" s="1"/>
  <c r="G16" i="2"/>
  <c r="H16" i="2" s="1"/>
  <c r="I16" i="2" s="1"/>
  <c r="G17" i="2"/>
  <c r="H17" i="2" s="1"/>
  <c r="I17" i="2" s="1"/>
  <c r="G18" i="2"/>
  <c r="H18" i="2" s="1"/>
  <c r="I18" i="2" s="1"/>
  <c r="G19" i="2"/>
  <c r="H19" i="2" s="1"/>
  <c r="I19" i="2" s="1"/>
  <c r="G20" i="2"/>
  <c r="H20" i="2"/>
  <c r="I20" i="2" s="1"/>
  <c r="G21" i="2"/>
  <c r="H21" i="2" s="1"/>
  <c r="I21" i="2" s="1"/>
  <c r="G22" i="2"/>
  <c r="H22" i="2"/>
  <c r="I22" i="2"/>
  <c r="G23" i="2"/>
  <c r="H23" i="2" s="1"/>
  <c r="I23" i="2" s="1"/>
  <c r="G24" i="2"/>
  <c r="H24" i="2" s="1"/>
  <c r="I24" i="2" s="1"/>
  <c r="G25" i="2"/>
  <c r="H25" i="2" s="1"/>
  <c r="I25" i="2" s="1"/>
  <c r="G26" i="2"/>
  <c r="H26" i="2" s="1"/>
  <c r="I26" i="2" s="1"/>
  <c r="G27" i="2"/>
  <c r="H27" i="2" s="1"/>
  <c r="I27" i="2" s="1"/>
  <c r="G28" i="2"/>
  <c r="H28" i="2"/>
  <c r="I28" i="2" s="1"/>
  <c r="G29" i="2"/>
  <c r="H29" i="2" s="1"/>
  <c r="I29" i="2" s="1"/>
  <c r="G30" i="2"/>
  <c r="H30" i="2" s="1"/>
  <c r="I30" i="2" s="1"/>
  <c r="G31" i="2"/>
  <c r="H31" i="2" s="1"/>
  <c r="I31" i="2" s="1"/>
  <c r="G32" i="2"/>
  <c r="H32" i="2" s="1"/>
  <c r="I32" i="2" s="1"/>
  <c r="G33" i="2"/>
  <c r="H33" i="2" s="1"/>
  <c r="I33" i="2" s="1"/>
  <c r="G34" i="2"/>
  <c r="H34" i="2"/>
  <c r="I34" i="2" s="1"/>
  <c r="G35" i="2"/>
  <c r="H35" i="2" s="1"/>
  <c r="I35" i="2" s="1"/>
  <c r="G36" i="2"/>
  <c r="H36" i="2" s="1"/>
  <c r="I36" i="2" s="1"/>
  <c r="G37" i="2"/>
  <c r="H37" i="2" s="1"/>
  <c r="I37" i="2" s="1"/>
  <c r="G38" i="2"/>
  <c r="H38" i="2"/>
  <c r="I38" i="2" s="1"/>
  <c r="G39" i="2"/>
  <c r="H39" i="2"/>
  <c r="I39" i="2" s="1"/>
  <c r="G40" i="2"/>
  <c r="H40" i="2" s="1"/>
  <c r="I40" i="2" s="1"/>
  <c r="G41" i="2"/>
  <c r="H41" i="2" s="1"/>
  <c r="I41" i="2" s="1"/>
  <c r="G42" i="2"/>
  <c r="H42" i="2" s="1"/>
  <c r="I42" i="2" s="1"/>
  <c r="G43" i="2"/>
  <c r="H43" i="2"/>
  <c r="I43" i="2" s="1"/>
  <c r="G44" i="2"/>
  <c r="H44" i="2" s="1"/>
  <c r="I44" i="2" s="1"/>
  <c r="G45" i="2"/>
  <c r="H45" i="2" s="1"/>
  <c r="I45" i="2" s="1"/>
  <c r="G46" i="2"/>
  <c r="H46" i="2" s="1"/>
  <c r="I46" i="2" s="1"/>
  <c r="G47" i="2"/>
  <c r="H47" i="2"/>
  <c r="I47" i="2" s="1"/>
  <c r="G48" i="2"/>
  <c r="H48" i="2" s="1"/>
  <c r="I48" i="2" s="1"/>
  <c r="G49" i="2"/>
  <c r="H49" i="2"/>
  <c r="I49" i="2" s="1"/>
  <c r="G50" i="2"/>
  <c r="H50" i="2" s="1"/>
  <c r="I50" i="2" s="1"/>
  <c r="G51" i="2"/>
  <c r="H51" i="2" s="1"/>
  <c r="I51" i="2" s="1"/>
  <c r="G52" i="2"/>
  <c r="H52" i="2"/>
  <c r="I52" i="2" s="1"/>
  <c r="G53" i="2"/>
  <c r="H53" i="2" s="1"/>
  <c r="I53" i="2" s="1"/>
  <c r="G54" i="2"/>
  <c r="H54" i="2" s="1"/>
  <c r="I54" i="2" s="1"/>
  <c r="G55" i="2"/>
  <c r="H55" i="2" s="1"/>
  <c r="I55" i="2" s="1"/>
  <c r="G56" i="2"/>
  <c r="H56" i="2" s="1"/>
  <c r="I56" i="2" s="1"/>
  <c r="G57" i="2"/>
  <c r="H57" i="2" s="1"/>
  <c r="I57" i="2" s="1"/>
  <c r="G58" i="2"/>
  <c r="H58" i="2" s="1"/>
  <c r="I58" i="2" s="1"/>
  <c r="G59" i="2"/>
  <c r="H59" i="2" s="1"/>
  <c r="I59" i="2" s="1"/>
  <c r="G60" i="2"/>
  <c r="H60" i="2" s="1"/>
  <c r="I60" i="2" s="1"/>
  <c r="G61" i="2"/>
  <c r="H61" i="2" s="1"/>
  <c r="I61" i="2" s="1"/>
  <c r="G62" i="2"/>
  <c r="H62" i="2" s="1"/>
  <c r="I62" i="2" s="1"/>
  <c r="G63" i="2"/>
  <c r="H63" i="2" s="1"/>
  <c r="I63" i="2" s="1"/>
  <c r="G64" i="2"/>
  <c r="H64" i="2" s="1"/>
  <c r="I64" i="2" s="1"/>
  <c r="G65" i="2"/>
  <c r="H65" i="2" s="1"/>
  <c r="I65" i="2" s="1"/>
  <c r="G66" i="2"/>
  <c r="H66" i="2" s="1"/>
  <c r="I66" i="2" s="1"/>
  <c r="G67" i="2"/>
  <c r="H67" i="2" s="1"/>
  <c r="I67" i="2" s="1"/>
  <c r="G68" i="2"/>
  <c r="H68" i="2"/>
  <c r="I68" i="2"/>
  <c r="G69" i="2"/>
  <c r="H69" i="2" s="1"/>
  <c r="I69" i="2" s="1"/>
  <c r="G70" i="2"/>
  <c r="H70" i="2" s="1"/>
  <c r="I70" i="2" s="1"/>
  <c r="G71" i="2"/>
  <c r="H71" i="2" s="1"/>
  <c r="I71" i="2" s="1"/>
  <c r="G72" i="2"/>
  <c r="H72" i="2" s="1"/>
  <c r="I72" i="2" s="1"/>
  <c r="G73" i="2"/>
  <c r="H73" i="2"/>
  <c r="I73" i="2"/>
  <c r="G74" i="2"/>
  <c r="H74" i="2" s="1"/>
  <c r="I74" i="2" s="1"/>
  <c r="G75" i="2"/>
  <c r="H75" i="2" s="1"/>
  <c r="I75" i="2" s="1"/>
  <c r="G76" i="2"/>
  <c r="H76" i="2" s="1"/>
  <c r="I76" i="2" s="1"/>
  <c r="G77" i="2"/>
  <c r="H77" i="2" s="1"/>
  <c r="I77" i="2" s="1"/>
  <c r="G78" i="2"/>
  <c r="H78" i="2" s="1"/>
  <c r="I78" i="2" s="1"/>
  <c r="G79" i="2"/>
  <c r="H79" i="2" s="1"/>
  <c r="I79" i="2" s="1"/>
  <c r="G80" i="2"/>
  <c r="H80" i="2" s="1"/>
  <c r="I80" i="2" s="1"/>
  <c r="G81" i="2"/>
  <c r="H81" i="2"/>
  <c r="I81" i="2" s="1"/>
  <c r="G82" i="2"/>
  <c r="H82" i="2"/>
  <c r="I82" i="2" s="1"/>
  <c r="G83" i="2"/>
  <c r="H83" i="2"/>
  <c r="I83" i="2" s="1"/>
  <c r="G84" i="2"/>
  <c r="H84" i="2"/>
  <c r="I84" i="2" s="1"/>
  <c r="G85" i="2"/>
  <c r="H85" i="2" s="1"/>
  <c r="I85" i="2" s="1"/>
  <c r="G86" i="2"/>
  <c r="H86" i="2" s="1"/>
  <c r="I86" i="2" s="1"/>
  <c r="G87" i="2"/>
  <c r="H87" i="2" s="1"/>
  <c r="I87" i="2" s="1"/>
  <c r="G88" i="2"/>
  <c r="H88" i="2" s="1"/>
  <c r="I88" i="2" s="1"/>
  <c r="G89" i="2"/>
  <c r="H89" i="2" s="1"/>
  <c r="I89" i="2" s="1"/>
  <c r="G90" i="2"/>
  <c r="H90" i="2"/>
  <c r="I90" i="2" s="1"/>
  <c r="G91" i="2"/>
  <c r="H91" i="2"/>
  <c r="I91" i="2" s="1"/>
  <c r="G92" i="2"/>
  <c r="H92" i="2"/>
  <c r="I92" i="2" s="1"/>
  <c r="G93" i="2"/>
  <c r="H93" i="2" s="1"/>
  <c r="I93" i="2" s="1"/>
  <c r="G94" i="2"/>
  <c r="H94" i="2" s="1"/>
  <c r="I94" i="2" s="1"/>
  <c r="G95" i="2"/>
  <c r="H95" i="2" s="1"/>
  <c r="I95" i="2" s="1"/>
  <c r="G96" i="2"/>
  <c r="H96" i="2" s="1"/>
  <c r="I96" i="2" s="1"/>
  <c r="G97" i="2"/>
  <c r="H97" i="2" s="1"/>
  <c r="I97" i="2" s="1"/>
  <c r="G98" i="2"/>
  <c r="H98" i="2"/>
  <c r="I98" i="2" s="1"/>
  <c r="G99" i="2"/>
  <c r="H99" i="2" s="1"/>
  <c r="I99" i="2" s="1"/>
  <c r="G100" i="2"/>
  <c r="H100" i="2" s="1"/>
  <c r="I100" i="2" s="1"/>
  <c r="G101" i="2"/>
  <c r="H101" i="2" s="1"/>
  <c r="I101" i="2" s="1"/>
  <c r="G102" i="2"/>
  <c r="H102" i="2" s="1"/>
  <c r="I102" i="2" s="1"/>
  <c r="G103" i="2"/>
  <c r="H103" i="2" s="1"/>
  <c r="I103" i="2" s="1"/>
  <c r="G104" i="2"/>
  <c r="H104" i="2" s="1"/>
  <c r="I104" i="2" s="1"/>
  <c r="G105" i="2"/>
  <c r="H105" i="2"/>
  <c r="I105" i="2"/>
  <c r="G106" i="2"/>
  <c r="H106" i="2" s="1"/>
  <c r="I106" i="2" s="1"/>
  <c r="G107" i="2"/>
  <c r="H107" i="2"/>
  <c r="I107" i="2" s="1"/>
  <c r="G108" i="2"/>
  <c r="H108" i="2" s="1"/>
  <c r="I108" i="2" s="1"/>
  <c r="G109" i="2"/>
  <c r="H109" i="2" s="1"/>
  <c r="I109" i="2" s="1"/>
  <c r="G110" i="2"/>
  <c r="H110" i="2"/>
  <c r="I110" i="2"/>
  <c r="G111" i="2"/>
  <c r="H111" i="2" s="1"/>
  <c r="I111" i="2" s="1"/>
  <c r="G112" i="2"/>
  <c r="H112" i="2" s="1"/>
  <c r="I112" i="2" s="1"/>
  <c r="G113" i="2"/>
  <c r="H113" i="2" s="1"/>
  <c r="I113" i="2" s="1"/>
  <c r="G114" i="2"/>
  <c r="H114" i="2" s="1"/>
  <c r="I114" i="2" s="1"/>
  <c r="G115" i="2"/>
  <c r="H115" i="2"/>
  <c r="I115" i="2" s="1"/>
  <c r="G116" i="2"/>
  <c r="H116" i="2"/>
  <c r="I116" i="2" s="1"/>
  <c r="G117" i="2"/>
  <c r="H117" i="2" s="1"/>
  <c r="I117" i="2" s="1"/>
  <c r="G118" i="2"/>
  <c r="H118" i="2" s="1"/>
  <c r="I118" i="2" s="1"/>
  <c r="G119" i="2"/>
  <c r="H119" i="2" s="1"/>
  <c r="I119" i="2" s="1"/>
  <c r="G120" i="2"/>
  <c r="H120" i="2" s="1"/>
  <c r="I120" i="2" s="1"/>
  <c r="G121" i="2"/>
  <c r="H121" i="2" s="1"/>
  <c r="I121" i="2" s="1"/>
  <c r="G122" i="2"/>
  <c r="H122" i="2" s="1"/>
  <c r="I122" i="2" s="1"/>
  <c r="G123" i="2"/>
  <c r="H123" i="2" s="1"/>
  <c r="I123" i="2" s="1"/>
  <c r="G124" i="2"/>
  <c r="H124" i="2" s="1"/>
  <c r="I124" i="2" s="1"/>
  <c r="G125" i="2"/>
  <c r="H125" i="2" s="1"/>
  <c r="I125" i="2" s="1"/>
  <c r="G126" i="2"/>
  <c r="H126" i="2" s="1"/>
  <c r="I126" i="2" s="1"/>
  <c r="G127" i="2"/>
  <c r="H127" i="2" s="1"/>
  <c r="I127" i="2" s="1"/>
  <c r="G128" i="2"/>
  <c r="H128" i="2" s="1"/>
  <c r="I128" i="2" s="1"/>
  <c r="G129" i="2"/>
  <c r="H129" i="2" s="1"/>
  <c r="I129" i="2" s="1"/>
  <c r="G130" i="2"/>
  <c r="H130" i="2"/>
  <c r="I130" i="2" s="1"/>
  <c r="G131" i="2"/>
  <c r="H131" i="2" s="1"/>
  <c r="I131" i="2" s="1"/>
  <c r="G132" i="2"/>
  <c r="H132" i="2"/>
  <c r="I132" i="2" s="1"/>
  <c r="G133" i="2"/>
  <c r="H133" i="2" s="1"/>
  <c r="I133" i="2" s="1"/>
  <c r="G134" i="2"/>
  <c r="H134" i="2" s="1"/>
  <c r="I134" i="2" s="1"/>
  <c r="G135" i="2"/>
  <c r="H135" i="2" s="1"/>
  <c r="I135" i="2" s="1"/>
  <c r="G136" i="2"/>
  <c r="H136" i="2" s="1"/>
  <c r="I136" i="2" s="1"/>
  <c r="G137" i="2"/>
  <c r="H137" i="2" s="1"/>
  <c r="I137" i="2" s="1"/>
  <c r="G138" i="2"/>
  <c r="H138" i="2"/>
  <c r="I138" i="2" s="1"/>
  <c r="G139" i="2"/>
  <c r="H139" i="2" s="1"/>
  <c r="I139" i="2" s="1"/>
  <c r="G140" i="2"/>
  <c r="H140" i="2" s="1"/>
  <c r="I140" i="2" s="1"/>
  <c r="G141" i="2"/>
  <c r="H141" i="2" s="1"/>
  <c r="I141" i="2" s="1"/>
  <c r="G142" i="2"/>
  <c r="H142" i="2" s="1"/>
  <c r="I142" i="2" s="1"/>
  <c r="G143" i="2"/>
  <c r="H143" i="2"/>
  <c r="I143" i="2"/>
  <c r="G144" i="2"/>
  <c r="H144" i="2" s="1"/>
  <c r="I144" i="2" s="1"/>
  <c r="G145" i="2"/>
  <c r="H145" i="2" s="1"/>
  <c r="I145" i="2" s="1"/>
  <c r="G146" i="2"/>
  <c r="H146" i="2"/>
  <c r="I146" i="2" s="1"/>
  <c r="G147" i="2"/>
  <c r="H147" i="2" s="1"/>
  <c r="I147" i="2" s="1"/>
  <c r="G148" i="2"/>
  <c r="H148" i="2"/>
  <c r="I148" i="2" s="1"/>
  <c r="G149" i="2"/>
  <c r="H149" i="2" s="1"/>
  <c r="I149" i="2" s="1"/>
  <c r="G150" i="2"/>
  <c r="H150" i="2" s="1"/>
  <c r="I150" i="2" s="1"/>
  <c r="G151" i="2"/>
  <c r="H151" i="2" s="1"/>
  <c r="I151" i="2" s="1"/>
  <c r="G152" i="2"/>
  <c r="H152" i="2" s="1"/>
  <c r="I152" i="2" s="1"/>
  <c r="G153" i="2"/>
  <c r="H153" i="2" s="1"/>
  <c r="I153" i="2" s="1"/>
  <c r="G154" i="2"/>
  <c r="H154" i="2"/>
  <c r="I154" i="2" s="1"/>
  <c r="G155" i="2"/>
  <c r="H155" i="2" s="1"/>
  <c r="I155" i="2" s="1"/>
  <c r="G156" i="2"/>
  <c r="H156" i="2"/>
  <c r="I156" i="2" s="1"/>
  <c r="G157" i="2"/>
  <c r="H157" i="2" s="1"/>
  <c r="I157" i="2" s="1"/>
  <c r="G158" i="2"/>
  <c r="H158" i="2" s="1"/>
  <c r="I158" i="2" s="1"/>
  <c r="G159" i="2"/>
  <c r="H159" i="2"/>
  <c r="I159" i="2" s="1"/>
  <c r="G160" i="2"/>
  <c r="H160" i="2" s="1"/>
  <c r="I160" i="2" s="1"/>
  <c r="G161" i="2"/>
  <c r="H161" i="2" s="1"/>
  <c r="I161" i="2" s="1"/>
  <c r="G162" i="2"/>
  <c r="H162" i="2" s="1"/>
  <c r="I162" i="2" s="1"/>
  <c r="G163" i="2"/>
  <c r="H163" i="2" s="1"/>
  <c r="I163" i="2" s="1"/>
  <c r="G164" i="2"/>
  <c r="H164" i="2" s="1"/>
  <c r="I164" i="2" s="1"/>
  <c r="G165" i="2"/>
  <c r="H165" i="2" s="1"/>
  <c r="I165" i="2" s="1"/>
  <c r="G166" i="2"/>
  <c r="H166" i="2" s="1"/>
  <c r="I166" i="2" s="1"/>
  <c r="G167" i="2"/>
  <c r="H167" i="2"/>
  <c r="I167" i="2"/>
  <c r="G168" i="2"/>
  <c r="H168" i="2" s="1"/>
  <c r="I168" i="2" s="1"/>
  <c r="G169" i="2"/>
  <c r="H169" i="2"/>
  <c r="I169" i="2" s="1"/>
  <c r="G170" i="2"/>
  <c r="H170" i="2"/>
  <c r="I170" i="2" s="1"/>
  <c r="G171" i="2"/>
  <c r="H171" i="2"/>
  <c r="I171" i="2" s="1"/>
  <c r="G172" i="2"/>
  <c r="H172" i="2" s="1"/>
  <c r="I172" i="2" s="1"/>
  <c r="G173" i="2"/>
  <c r="H173" i="2" s="1"/>
  <c r="I173" i="2" s="1"/>
  <c r="G174" i="2"/>
  <c r="H174" i="2" s="1"/>
  <c r="I174" i="2" s="1"/>
  <c r="G175" i="2"/>
  <c r="H175" i="2"/>
  <c r="I175" i="2" s="1"/>
  <c r="G176" i="2"/>
  <c r="H176" i="2" s="1"/>
  <c r="I176" i="2" s="1"/>
  <c r="G177" i="2"/>
  <c r="H177" i="2"/>
  <c r="I177" i="2" s="1"/>
  <c r="G178" i="2"/>
  <c r="H178" i="2" s="1"/>
  <c r="I178" i="2" s="1"/>
  <c r="G179" i="2"/>
  <c r="H179" i="2" s="1"/>
  <c r="I179" i="2" s="1"/>
  <c r="G180" i="2"/>
  <c r="H180" i="2"/>
  <c r="I180" i="2"/>
  <c r="G181" i="2"/>
  <c r="H181" i="2" s="1"/>
  <c r="I181" i="2" s="1"/>
  <c r="G182" i="2"/>
  <c r="H182" i="2"/>
  <c r="I182" i="2" s="1"/>
  <c r="G183" i="2"/>
  <c r="H183" i="2" s="1"/>
  <c r="I183" i="2" s="1"/>
  <c r="G184" i="2"/>
  <c r="H184" i="2" s="1"/>
  <c r="I184" i="2" s="1"/>
  <c r="G185" i="2"/>
  <c r="H185" i="2" s="1"/>
  <c r="I185" i="2" s="1"/>
  <c r="G186" i="2"/>
  <c r="H186" i="2" s="1"/>
  <c r="I186" i="2" s="1"/>
  <c r="G187" i="2"/>
  <c r="H187" i="2" s="1"/>
  <c r="I187" i="2" s="1"/>
  <c r="G188" i="2"/>
  <c r="H188" i="2" s="1"/>
  <c r="I188" i="2" s="1"/>
  <c r="G189" i="2"/>
  <c r="H189" i="2" s="1"/>
  <c r="I189" i="2" s="1"/>
  <c r="G190" i="2"/>
  <c r="H190" i="2"/>
  <c r="I190" i="2" s="1"/>
  <c r="G191" i="2"/>
  <c r="H191" i="2" s="1"/>
  <c r="I191" i="2" s="1"/>
  <c r="G192" i="2"/>
  <c r="H192" i="2" s="1"/>
  <c r="I192" i="2" s="1"/>
  <c r="G193" i="2"/>
  <c r="H193" i="2"/>
  <c r="I193" i="2" s="1"/>
  <c r="G194" i="2"/>
  <c r="H194" i="2"/>
  <c r="I194" i="2" s="1"/>
  <c r="G195" i="2"/>
  <c r="H195" i="2" s="1"/>
  <c r="I195" i="2" s="1"/>
  <c r="G196" i="2"/>
  <c r="H196" i="2" s="1"/>
  <c r="I196" i="2" s="1"/>
  <c r="G197" i="2"/>
  <c r="H197" i="2" s="1"/>
  <c r="I197" i="2" s="1"/>
  <c r="G198" i="2"/>
  <c r="H198" i="2" s="1"/>
  <c r="I198" i="2" s="1"/>
  <c r="G199" i="2"/>
  <c r="H199" i="2"/>
  <c r="I199" i="2" s="1"/>
  <c r="G200" i="2"/>
  <c r="H200" i="2" s="1"/>
  <c r="I200" i="2" s="1"/>
  <c r="G201" i="2"/>
  <c r="H201" i="2" s="1"/>
  <c r="I201" i="2" s="1"/>
  <c r="H2" i="2"/>
  <c r="I2" i="2"/>
  <c r="G2" i="2"/>
  <c r="N8" i="2"/>
  <c r="N7" i="2"/>
  <c r="N6" i="2"/>
  <c r="N5" i="2"/>
  <c r="N4" i="2"/>
  <c r="N3" i="2"/>
  <c r="N2" i="2"/>
  <c r="E8" i="3" l="1"/>
</calcChain>
</file>

<file path=xl/sharedStrings.xml><?xml version="1.0" encoding="utf-8"?>
<sst xmlns="http://schemas.openxmlformats.org/spreadsheetml/2006/main" count="656" uniqueCount="329">
  <si>
    <t>Loan_ID</t>
  </si>
  <si>
    <t>Loan_Type</t>
  </si>
  <si>
    <t>Loan_Amount</t>
  </si>
  <si>
    <t>Interest_Rate (%)</t>
  </si>
  <si>
    <t>Tenure (Years)</t>
  </si>
  <si>
    <t>EMI</t>
  </si>
  <si>
    <t>Total_Payment</t>
  </si>
  <si>
    <t>Interest_Paid</t>
  </si>
  <si>
    <t>Default_Flag</t>
  </si>
  <si>
    <t>L001</t>
  </si>
  <si>
    <t>C123</t>
  </si>
  <si>
    <t>Education</t>
  </si>
  <si>
    <t>L002</t>
  </si>
  <si>
    <t>C100</t>
  </si>
  <si>
    <t>Personal</t>
  </si>
  <si>
    <t>L003</t>
  </si>
  <si>
    <t>C160</t>
  </si>
  <si>
    <t>Car</t>
  </si>
  <si>
    <t>L004</t>
  </si>
  <si>
    <t>C170</t>
  </si>
  <si>
    <t>L005</t>
  </si>
  <si>
    <t>C197</t>
  </si>
  <si>
    <t>L006</t>
  </si>
  <si>
    <t>C147</t>
  </si>
  <si>
    <t>L007</t>
  </si>
  <si>
    <t>C200</t>
  </si>
  <si>
    <t>L008</t>
  </si>
  <si>
    <t>C109</t>
  </si>
  <si>
    <t>L009</t>
  </si>
  <si>
    <t>C168</t>
  </si>
  <si>
    <t>L010</t>
  </si>
  <si>
    <t>C122</t>
  </si>
  <si>
    <t>Home</t>
  </si>
  <si>
    <t>L011</t>
  </si>
  <si>
    <t>L012</t>
  </si>
  <si>
    <t>C112</t>
  </si>
  <si>
    <t>L013</t>
  </si>
  <si>
    <t>C174</t>
  </si>
  <si>
    <t>L014</t>
  </si>
  <si>
    <t>C185</t>
  </si>
  <si>
    <t>L015</t>
  </si>
  <si>
    <t>L016</t>
  </si>
  <si>
    <t>L017</t>
  </si>
  <si>
    <t>C144</t>
  </si>
  <si>
    <t>L018</t>
  </si>
  <si>
    <t>L019</t>
  </si>
  <si>
    <t>C172</t>
  </si>
  <si>
    <t>L020</t>
  </si>
  <si>
    <t>C106</t>
  </si>
  <si>
    <t>L021</t>
  </si>
  <si>
    <t>C155</t>
  </si>
  <si>
    <t>L022</t>
  </si>
  <si>
    <t>C171</t>
  </si>
  <si>
    <t>L023</t>
  </si>
  <si>
    <t>L024</t>
  </si>
  <si>
    <t>C124</t>
  </si>
  <si>
    <t>L025</t>
  </si>
  <si>
    <t>L026</t>
  </si>
  <si>
    <t>L027</t>
  </si>
  <si>
    <t>C173</t>
  </si>
  <si>
    <t>L028</t>
  </si>
  <si>
    <t>C179</t>
  </si>
  <si>
    <t>L029</t>
  </si>
  <si>
    <t>C178</t>
  </si>
  <si>
    <t>L030</t>
  </si>
  <si>
    <t>L031</t>
  </si>
  <si>
    <t>L032</t>
  </si>
  <si>
    <t>C195</t>
  </si>
  <si>
    <t>L033</t>
  </si>
  <si>
    <t>C128</t>
  </si>
  <si>
    <t>L034</t>
  </si>
  <si>
    <t>C121</t>
  </si>
  <si>
    <t>L035</t>
  </si>
  <si>
    <t>C129</t>
  </si>
  <si>
    <t>L036</t>
  </si>
  <si>
    <t>C158</t>
  </si>
  <si>
    <t>L037</t>
  </si>
  <si>
    <t>L038</t>
  </si>
  <si>
    <t>L039</t>
  </si>
  <si>
    <t>L040</t>
  </si>
  <si>
    <t>C152</t>
  </si>
  <si>
    <t>L041</t>
  </si>
  <si>
    <t>C127</t>
  </si>
  <si>
    <t>L042</t>
  </si>
  <si>
    <t>C191</t>
  </si>
  <si>
    <t>L043</t>
  </si>
  <si>
    <t>L044</t>
  </si>
  <si>
    <t>C175</t>
  </si>
  <si>
    <t>L045</t>
  </si>
  <si>
    <t>C187</t>
  </si>
  <si>
    <t>L046</t>
  </si>
  <si>
    <t>C133</t>
  </si>
  <si>
    <t>L047</t>
  </si>
  <si>
    <t>L048</t>
  </si>
  <si>
    <t>L049</t>
  </si>
  <si>
    <t>C141</t>
  </si>
  <si>
    <t>L050</t>
  </si>
  <si>
    <t>C166</t>
  </si>
  <si>
    <t>L051</t>
  </si>
  <si>
    <t>L052</t>
  </si>
  <si>
    <t>L053</t>
  </si>
  <si>
    <t>C135</t>
  </si>
  <si>
    <t>L054</t>
  </si>
  <si>
    <t>C126</t>
  </si>
  <si>
    <t>L055</t>
  </si>
  <si>
    <t>C116</t>
  </si>
  <si>
    <t>L056</t>
  </si>
  <si>
    <t>L057</t>
  </si>
  <si>
    <t>C165</t>
  </si>
  <si>
    <t>L058</t>
  </si>
  <si>
    <t>C186</t>
  </si>
  <si>
    <t>L059</t>
  </si>
  <si>
    <t>C125</t>
  </si>
  <si>
    <t>L060</t>
  </si>
  <si>
    <t>L061</t>
  </si>
  <si>
    <t>L062</t>
  </si>
  <si>
    <t>L063</t>
  </si>
  <si>
    <t>L064</t>
  </si>
  <si>
    <t>L065</t>
  </si>
  <si>
    <t>L066</t>
  </si>
  <si>
    <t>L067</t>
  </si>
  <si>
    <t>L068</t>
  </si>
  <si>
    <t>L069</t>
  </si>
  <si>
    <t>L070</t>
  </si>
  <si>
    <t>L071</t>
  </si>
  <si>
    <t>L072</t>
  </si>
  <si>
    <t>C146</t>
  </si>
  <si>
    <t>L073</t>
  </si>
  <si>
    <t>L074</t>
  </si>
  <si>
    <t>C108</t>
  </si>
  <si>
    <t>L075</t>
  </si>
  <si>
    <t>C153</t>
  </si>
  <si>
    <t>L076</t>
  </si>
  <si>
    <t>L077</t>
  </si>
  <si>
    <t>L078</t>
  </si>
  <si>
    <t>C118</t>
  </si>
  <si>
    <t>L079</t>
  </si>
  <si>
    <t>L080</t>
  </si>
  <si>
    <t>L081</t>
  </si>
  <si>
    <t>C188</t>
  </si>
  <si>
    <t>L082</t>
  </si>
  <si>
    <t>C167</t>
  </si>
  <si>
    <t>L083</t>
  </si>
  <si>
    <t>C150</t>
  </si>
  <si>
    <t>L084</t>
  </si>
  <si>
    <t>L085</t>
  </si>
  <si>
    <t>L086</t>
  </si>
  <si>
    <t>L087</t>
  </si>
  <si>
    <t>C164</t>
  </si>
  <si>
    <t>L088</t>
  </si>
  <si>
    <t>C156</t>
  </si>
  <si>
    <t>L089</t>
  </si>
  <si>
    <t>L090</t>
  </si>
  <si>
    <t>C117</t>
  </si>
  <si>
    <t>L091</t>
  </si>
  <si>
    <t>C169</t>
  </si>
  <si>
    <t>L092</t>
  </si>
  <si>
    <t>C159</t>
  </si>
  <si>
    <t>L093</t>
  </si>
  <si>
    <t>C132</t>
  </si>
  <si>
    <t>L094</t>
  </si>
  <si>
    <t>L095</t>
  </si>
  <si>
    <t>C184</t>
  </si>
  <si>
    <t>L096</t>
  </si>
  <si>
    <t>L097</t>
  </si>
  <si>
    <t>L098</t>
  </si>
  <si>
    <t>C163</t>
  </si>
  <si>
    <t>L099</t>
  </si>
  <si>
    <t>L100</t>
  </si>
  <si>
    <t>L101</t>
  </si>
  <si>
    <t>C107</t>
  </si>
  <si>
    <t>L102</t>
  </si>
  <si>
    <t>L103</t>
  </si>
  <si>
    <t>C134</t>
  </si>
  <si>
    <t>L104</t>
  </si>
  <si>
    <t>C120</t>
  </si>
  <si>
    <t>L105</t>
  </si>
  <si>
    <t>L106</t>
  </si>
  <si>
    <t>C110</t>
  </si>
  <si>
    <t>L107</t>
  </si>
  <si>
    <t>C142</t>
  </si>
  <si>
    <t>L108</t>
  </si>
  <si>
    <t>L109</t>
  </si>
  <si>
    <t>L110</t>
  </si>
  <si>
    <t>L111</t>
  </si>
  <si>
    <t>L112</t>
  </si>
  <si>
    <t>C104</t>
  </si>
  <si>
    <t>L113</t>
  </si>
  <si>
    <t>L114</t>
  </si>
  <si>
    <t>L115</t>
  </si>
  <si>
    <t>L116</t>
  </si>
  <si>
    <t>L117</t>
  </si>
  <si>
    <t>C139</t>
  </si>
  <si>
    <t>L118</t>
  </si>
  <si>
    <t>L119</t>
  </si>
  <si>
    <t>L120</t>
  </si>
  <si>
    <t>L121</t>
  </si>
  <si>
    <t>L122</t>
  </si>
  <si>
    <t>L123</t>
  </si>
  <si>
    <t>C183</t>
  </si>
  <si>
    <t>L124</t>
  </si>
  <si>
    <t>C102</t>
  </si>
  <si>
    <t>L125</t>
  </si>
  <si>
    <t>C162</t>
  </si>
  <si>
    <t>L126</t>
  </si>
  <si>
    <t>C193</t>
  </si>
  <si>
    <t>L127</t>
  </si>
  <si>
    <t>L128</t>
  </si>
  <si>
    <t>L129</t>
  </si>
  <si>
    <t>L130</t>
  </si>
  <si>
    <t>C161</t>
  </si>
  <si>
    <t>L131</t>
  </si>
  <si>
    <t>L132</t>
  </si>
  <si>
    <t>L133</t>
  </si>
  <si>
    <t>L134</t>
  </si>
  <si>
    <t>C136</t>
  </si>
  <si>
    <t>L135</t>
  </si>
  <si>
    <t>L136</t>
  </si>
  <si>
    <t>L137</t>
  </si>
  <si>
    <t>L138</t>
  </si>
  <si>
    <t>C140</t>
  </si>
  <si>
    <t>L139</t>
  </si>
  <si>
    <t>L140</t>
  </si>
  <si>
    <t>L141</t>
  </si>
  <si>
    <t>L142</t>
  </si>
  <si>
    <t>L143</t>
  </si>
  <si>
    <t>L144</t>
  </si>
  <si>
    <t>C192</t>
  </si>
  <si>
    <t>L145</t>
  </si>
  <si>
    <t>L146</t>
  </si>
  <si>
    <t>C101</t>
  </si>
  <si>
    <t>L147</t>
  </si>
  <si>
    <t>L148</t>
  </si>
  <si>
    <t>C157</t>
  </si>
  <si>
    <t>L149</t>
  </si>
  <si>
    <t>L150</t>
  </si>
  <si>
    <t>L151</t>
  </si>
  <si>
    <t>C189</t>
  </si>
  <si>
    <t>L152</t>
  </si>
  <si>
    <t>L153</t>
  </si>
  <si>
    <t>L154</t>
  </si>
  <si>
    <t>L155</t>
  </si>
  <si>
    <t>L156</t>
  </si>
  <si>
    <t>L157</t>
  </si>
  <si>
    <t>L158</t>
  </si>
  <si>
    <t>L159</t>
  </si>
  <si>
    <t>L160</t>
  </si>
  <si>
    <t>L161</t>
  </si>
  <si>
    <t>C145</t>
  </si>
  <si>
    <t>L162</t>
  </si>
  <si>
    <t>L163</t>
  </si>
  <si>
    <t>L164</t>
  </si>
  <si>
    <t>L165</t>
  </si>
  <si>
    <t>L166</t>
  </si>
  <si>
    <t>L167</t>
  </si>
  <si>
    <t>L168</t>
  </si>
  <si>
    <t>L169</t>
  </si>
  <si>
    <t>L170</t>
  </si>
  <si>
    <t>L171</t>
  </si>
  <si>
    <t>L172</t>
  </si>
  <si>
    <t>L173</t>
  </si>
  <si>
    <t>L174</t>
  </si>
  <si>
    <t>L175</t>
  </si>
  <si>
    <t>L176</t>
  </si>
  <si>
    <t>C137</t>
  </si>
  <si>
    <t>L177</t>
  </si>
  <si>
    <t>C148</t>
  </si>
  <si>
    <t>L178</t>
  </si>
  <si>
    <t>C151</t>
  </si>
  <si>
    <t>L179</t>
  </si>
  <si>
    <t>L180</t>
  </si>
  <si>
    <t>L181</t>
  </si>
  <si>
    <t>C131</t>
  </si>
  <si>
    <t>L182</t>
  </si>
  <si>
    <t>L183</t>
  </si>
  <si>
    <t>C198</t>
  </si>
  <si>
    <t>L184</t>
  </si>
  <si>
    <t>L185</t>
  </si>
  <si>
    <t>L186</t>
  </si>
  <si>
    <t>L187</t>
  </si>
  <si>
    <t>L188</t>
  </si>
  <si>
    <t>L189</t>
  </si>
  <si>
    <t>C194</t>
  </si>
  <si>
    <t>L190</t>
  </si>
  <si>
    <t>L191</t>
  </si>
  <si>
    <t>L192</t>
  </si>
  <si>
    <t>L193</t>
  </si>
  <si>
    <t>L194</t>
  </si>
  <si>
    <t>L195</t>
  </si>
  <si>
    <t>L196</t>
  </si>
  <si>
    <t>L197</t>
  </si>
  <si>
    <t>L198</t>
  </si>
  <si>
    <t>L199</t>
  </si>
  <si>
    <t>L200</t>
  </si>
  <si>
    <t>Total lona</t>
  </si>
  <si>
    <t>Customer_ID=</t>
  </si>
  <si>
    <t>C130</t>
  </si>
  <si>
    <t>C138</t>
  </si>
  <si>
    <t>C143</t>
  </si>
  <si>
    <t>C149</t>
  </si>
  <si>
    <t>C154</t>
  </si>
  <si>
    <t>Loan Types</t>
  </si>
  <si>
    <t>Total Defaulters</t>
  </si>
  <si>
    <t>Default Rate</t>
  </si>
  <si>
    <t>Avg Loan Amount</t>
  </si>
  <si>
    <t>Max Loan Amount</t>
  </si>
  <si>
    <t>Min Loan Amount</t>
  </si>
  <si>
    <t>Loans Portfolio — Summary Statistics</t>
  </si>
  <si>
    <t>Loan Type</t>
  </si>
  <si>
    <t>Count</t>
  </si>
  <si>
    <t>Total Amount</t>
  </si>
  <si>
    <t>Avg Loan</t>
  </si>
  <si>
    <t>Avg Interest %</t>
  </si>
  <si>
    <t>TOTAL</t>
  </si>
  <si>
    <t>Row Labels</t>
  </si>
  <si>
    <t>Grand Total</t>
  </si>
  <si>
    <t xml:space="preserve"> Total Amount</t>
  </si>
  <si>
    <t>No. of Loans</t>
  </si>
  <si>
    <t>Average of Default_Flag</t>
  </si>
  <si>
    <t>Sum of Tenure (Years)</t>
  </si>
  <si>
    <t>Total Loans</t>
  </si>
  <si>
    <t>Portfolio Value (₹)</t>
  </si>
  <si>
    <t>Avg Loan Amount (₹)</t>
  </si>
  <si>
    <t>Avg Interest Rate (%)</t>
  </si>
  <si>
    <t>Summary --&gt;</t>
  </si>
  <si>
    <t>Pivot --&gt;</t>
  </si>
  <si>
    <t>Loans Portfolio Analytics Dashboard</t>
  </si>
  <si>
    <t>Raw data --&gt;</t>
  </si>
  <si>
    <t>Chart--&gt;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</si>
</sst>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sz val="12"/>
      <color theme="1"/>
      <name val="Calibri"/>
      <family val="2"/>
      <scheme val="minor"/>
    </font>
    <font>
      <b/>
      <sz val="14"/>
      <color theme="0"/>
      <name val="Calibri"/>
      <family val="2"/>
      <scheme val="minor"/>
    </font>
    <font>
      <b/>
      <sz val="10"/>
      <color theme="1"/>
      <name val="Arial Unicode MS"/>
    </font>
    <font>
      <b/>
      <sz val="20"/>
      <color theme="0"/>
      <name val="Calibri"/>
      <family val="2"/>
      <scheme val="minor"/>
    </font>
    <font>
      <sz val="24"/>
      <color theme="0"/>
      <name val="Calibri"/>
      <family val="2"/>
      <scheme val="minor"/>
    </font>
    <font>
      <sz val="12"/>
      <color theme="0"/>
      <name val="Calibri"/>
      <family val="2"/>
      <scheme val="minor"/>
    </font>
    <font>
      <sz val="22"/>
      <color theme="0"/>
      <name val="Calibri"/>
      <family val="2"/>
      <scheme val="minor"/>
    </font>
    <font>
      <u/>
      <sz val="11"/>
      <color theme="10"/>
      <name val="Calibri"/>
      <family val="2"/>
      <scheme val="minor"/>
    </font>
    <font>
      <u/>
      <sz val="11"/>
      <color theme="0"/>
      <name val="Calibri"/>
      <family val="2"/>
      <scheme val="minor"/>
    </font>
    <font>
      <u/>
      <sz val="12"/>
      <color theme="0"/>
      <name val="Calibri"/>
      <family val="2"/>
      <scheme val="minor"/>
    </font>
    <font>
      <u/>
      <sz val="14"/>
      <color theme="0"/>
      <name val="Calibri"/>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28">
    <xf numFmtId="0" fontId="0" fillId="0" borderId="0" xfId="0"/>
    <xf numFmtId="9" fontId="0" fillId="0" borderId="0" xfId="0" applyNumberFormat="1"/>
    <xf numFmtId="4" fontId="0" fillId="0" borderId="0" xfId="0" applyNumberFormat="1"/>
    <xf numFmtId="0" fontId="0" fillId="0" borderId="1" xfId="0" applyBorder="1"/>
    <xf numFmtId="0" fontId="4" fillId="0" borderId="1" xfId="0" applyFont="1" applyBorder="1"/>
    <xf numFmtId="9" fontId="0" fillId="0" borderId="1" xfId="0" applyNumberFormat="1" applyBorder="1"/>
    <xf numFmtId="4" fontId="4" fillId="0" borderId="1" xfId="0" applyNumberFormat="1" applyFont="1" applyBorder="1"/>
    <xf numFmtId="0" fontId="6" fillId="2" borderId="0" xfId="0" applyFont="1" applyFill="1" applyAlignment="1">
      <alignment horizontal="center"/>
    </xf>
    <xf numFmtId="0" fontId="4" fillId="0" borderId="0" xfId="0" applyFont="1" applyAlignment="1">
      <alignment vertical="center" wrapText="1"/>
    </xf>
    <xf numFmtId="0" fontId="1" fillId="3" borderId="0" xfId="0" applyFont="1" applyFill="1" applyAlignment="1">
      <alignment vertical="center"/>
    </xf>
    <xf numFmtId="0" fontId="7" fillId="3" borderId="0" xfId="0" applyFont="1" applyFill="1" applyAlignment="1">
      <alignment vertical="center" wrapText="1"/>
    </xf>
    <xf numFmtId="4" fontId="7" fillId="3" borderId="0" xfId="0" applyNumberFormat="1" applyFont="1" applyFill="1" applyAlignment="1">
      <alignment vertical="center" wrapText="1"/>
    </xf>
    <xf numFmtId="9" fontId="7" fillId="3" borderId="0" xfId="0" applyNumberFormat="1" applyFont="1" applyFill="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applyFill="1" applyAlignment="1">
      <alignment horizontal="center" vertical="center"/>
    </xf>
    <xf numFmtId="0" fontId="9" fillId="4" borderId="0" xfId="0" applyFont="1" applyFill="1" applyAlignment="1">
      <alignment horizontal="center" vertical="center"/>
    </xf>
    <xf numFmtId="0" fontId="11" fillId="4" borderId="0" xfId="0" applyFont="1" applyFill="1" applyAlignment="1">
      <alignment horizontal="center" vertical="center"/>
    </xf>
    <xf numFmtId="0" fontId="10" fillId="5" borderId="0" xfId="0" applyFont="1" applyFill="1" applyAlignment="1">
      <alignment horizontal="center"/>
    </xf>
    <xf numFmtId="0" fontId="5" fillId="5" borderId="0" xfId="0" applyFont="1" applyFill="1" applyAlignment="1">
      <alignment horizontal="center"/>
    </xf>
    <xf numFmtId="0" fontId="2" fillId="5" borderId="0" xfId="0" applyFont="1" applyFill="1" applyAlignment="1">
      <alignment horizontal="center" vertical="center"/>
    </xf>
    <xf numFmtId="0" fontId="10" fillId="5" borderId="0" xfId="0" applyFont="1" applyFill="1" applyAlignment="1">
      <alignment horizontal="center" vertical="center"/>
    </xf>
    <xf numFmtId="0" fontId="14" fillId="6" borderId="0" xfId="1" applyFont="1" applyFill="1" applyAlignment="1">
      <alignment horizontal="center" vertical="center"/>
    </xf>
    <xf numFmtId="0" fontId="13" fillId="6" borderId="0" xfId="1" applyFont="1" applyFill="1" applyAlignment="1">
      <alignment horizontal="center" vertical="center"/>
    </xf>
    <xf numFmtId="0" fontId="14" fillId="6" borderId="0" xfId="1" quotePrefix="1" applyFont="1" applyFill="1" applyAlignment="1">
      <alignment horizontal="center" vertical="center"/>
    </xf>
    <xf numFmtId="0" fontId="8" fillId="4" borderId="0" xfId="0" applyFont="1" applyFill="1" applyAlignment="1">
      <alignment horizontal="center" vertical="center"/>
    </xf>
    <xf numFmtId="0" fontId="15" fillId="6" borderId="0" xfId="1" applyFont="1" applyFill="1" applyAlignment="1">
      <alignment horizontal="center" vertical="center"/>
    </xf>
  </cellXfs>
  <cellStyles count="2">
    <cellStyle name="Hyperlink" xfId="1" builtinId="8"/>
    <cellStyle name="Normal" xfId="0" builtinId="0"/>
  </cellStyles>
  <dxfs count="11">
    <dxf>
      <fill>
        <patternFill>
          <bgColor theme="9" tint="-0.24994659260841701"/>
        </patternFill>
      </fill>
    </dxf>
    <dxf>
      <fill>
        <patternFill>
          <bgColor rgb="FFFFA143"/>
        </patternFill>
      </fill>
    </dxf>
    <dxf>
      <fill>
        <patternFill>
          <bgColor theme="9" tint="-0.24994659260841701"/>
        </patternFill>
      </fill>
    </dxf>
    <dxf>
      <font>
        <b/>
        <i val="0"/>
      </font>
      <fill>
        <patternFill>
          <bgColor rgb="FFFF0000"/>
        </patternFill>
      </fill>
    </dxf>
    <dxf>
      <fill>
        <patternFill>
          <bgColor rgb="FF92D050"/>
        </patternFill>
      </fill>
    </dxf>
    <dxf>
      <fill>
        <patternFill>
          <bgColor rgb="FF99FF99"/>
        </patternFill>
      </fill>
    </dxf>
    <dxf>
      <numFmt numFmtId="13" formatCode="0%"/>
    </dxf>
    <dxf>
      <numFmt numFmtId="13" formatCode="0%"/>
    </dxf>
    <dxf>
      <numFmt numFmtId="4" formatCode="#,##0.00"/>
    </dxf>
    <dxf>
      <numFmt numFmtId="4" formatCode="#,##0.00"/>
    </dxf>
    <dxf>
      <numFmt numFmtId="4" formatCode="#,##0.00"/>
    </dxf>
  </dxfs>
  <tableStyles count="0" defaultTableStyle="TableStyleMedium9" defaultPivotStyle="PivotStyleLight16"/>
  <colors>
    <mruColors>
      <color rgb="FFFFA14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Count by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 Statistics'!$B$3</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 Statistics'!$A$4,'Summary Statistics'!$A$5,'Summary Statistics'!$A$6,'Summary Statistics'!$A$7)</c:f>
              <c:strCache>
                <c:ptCount val="4"/>
                <c:pt idx="0">
                  <c:v>Car</c:v>
                </c:pt>
                <c:pt idx="1">
                  <c:v>Education</c:v>
                </c:pt>
                <c:pt idx="2">
                  <c:v>Home</c:v>
                </c:pt>
                <c:pt idx="3">
                  <c:v>Personal</c:v>
                </c:pt>
              </c:strCache>
            </c:strRef>
          </c:cat>
          <c:val>
            <c:numRef>
              <c:f>('Summary Statistics'!$B$4,'Summary Statistics'!$B$5,'Summary Statistics'!$B$6,'Summary Statistics'!$B$7)</c:f>
              <c:numCache>
                <c:formatCode>General</c:formatCode>
                <c:ptCount val="4"/>
                <c:pt idx="0">
                  <c:v>43</c:v>
                </c:pt>
                <c:pt idx="1">
                  <c:v>52</c:v>
                </c:pt>
                <c:pt idx="2">
                  <c:v>42</c:v>
                </c:pt>
                <c:pt idx="3">
                  <c:v>63</c:v>
                </c:pt>
              </c:numCache>
            </c:numRef>
          </c:val>
          <c:extLst>
            <c:ext xmlns:c16="http://schemas.microsoft.com/office/drawing/2014/chart" uri="{C3380CC4-5D6E-409C-BE32-E72D297353CC}">
              <c16:uniqueId val="{00000000-0C69-40A4-BB08-C82141865757}"/>
            </c:ext>
          </c:extLst>
        </c:ser>
        <c:dLbls>
          <c:dLblPos val="inEnd"/>
          <c:showLegendKey val="0"/>
          <c:showVal val="1"/>
          <c:showCatName val="0"/>
          <c:showSerName val="0"/>
          <c:showPercent val="0"/>
          <c:showBubbleSize val="0"/>
        </c:dLbls>
        <c:gapWidth val="100"/>
        <c:overlap val="-24"/>
        <c:axId val="450741951"/>
        <c:axId val="450738111"/>
      </c:barChart>
      <c:catAx>
        <c:axId val="450741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738111"/>
        <c:crosses val="autoZero"/>
        <c:auto val="1"/>
        <c:lblAlgn val="ctr"/>
        <c:lblOffset val="100"/>
        <c:noMultiLvlLbl val="0"/>
      </c:catAx>
      <c:valAx>
        <c:axId val="450738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74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Portfolio Share by Loan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BBC-4021-B613-ED83C36800A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2BBC-4021-B613-ED83C36800A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2BBC-4021-B613-ED83C36800A7}"/>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2BBC-4021-B613-ED83C36800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('Summary Statistics'!$A$4,'Summary Statistics'!$A$5,'Summary Statistics'!$A$6,'Summary Statistics'!$A$7)</c:f>
              <c:strCache>
                <c:ptCount val="4"/>
                <c:pt idx="0">
                  <c:v>Car</c:v>
                </c:pt>
                <c:pt idx="1">
                  <c:v>Education</c:v>
                </c:pt>
                <c:pt idx="2">
                  <c:v>Home</c:v>
                </c:pt>
                <c:pt idx="3">
                  <c:v>Personal</c:v>
                </c:pt>
              </c:strCache>
            </c:strRef>
          </c:cat>
          <c:val>
            <c:numRef>
              <c:f>('Summary Statistics'!$C$4,'Summary Statistics'!$C$5,'Summary Statistics'!$C$6,'Summary Statistics'!$C$7)</c:f>
              <c:numCache>
                <c:formatCode>#,##0.00</c:formatCode>
                <c:ptCount val="4"/>
                <c:pt idx="0">
                  <c:v>40590839</c:v>
                </c:pt>
                <c:pt idx="1">
                  <c:v>52905599</c:v>
                </c:pt>
                <c:pt idx="2">
                  <c:v>49907797</c:v>
                </c:pt>
                <c:pt idx="3">
                  <c:v>59504057</c:v>
                </c:pt>
              </c:numCache>
            </c:numRef>
          </c:val>
          <c:extLst>
            <c:ext xmlns:c16="http://schemas.microsoft.com/office/drawing/2014/chart" uri="{C3380CC4-5D6E-409C-BE32-E72D297353CC}">
              <c16:uniqueId val="{00000008-2BBC-4021-B613-ED83C36800A7}"/>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Default Rate by Loan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5.8386411889596604E-2"/>
          <c:y val="1.4351851851851852E-3"/>
          <c:w val="0.94161358811040341"/>
          <c:h val="0.71523950131233593"/>
        </c:manualLayout>
      </c:layout>
      <c:lineChart>
        <c:grouping val="standard"/>
        <c:varyColors val="0"/>
        <c:ser>
          <c:idx val="0"/>
          <c:order val="0"/>
          <c:spPr>
            <a:ln w="25400" cap="rnd">
              <a:solidFill>
                <a:srgbClr val="FF0000"/>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('Summary Statistics'!$A$4,'Summary Statistics'!$A$5,'Summary Statistics'!$A$6,'Summary Statistics'!$A$7)</c:f>
              <c:strCache>
                <c:ptCount val="4"/>
                <c:pt idx="0">
                  <c:v>Car</c:v>
                </c:pt>
                <c:pt idx="1">
                  <c:v>Education</c:v>
                </c:pt>
                <c:pt idx="2">
                  <c:v>Home</c:v>
                </c:pt>
                <c:pt idx="3">
                  <c:v>Personal</c:v>
                </c:pt>
              </c:strCache>
            </c:strRef>
          </c:cat>
          <c:val>
            <c:numRef>
              <c:f>('Summary Statistics'!$F$4,'Summary Statistics'!$F$5,'Summary Statistics'!$F$6,'Summary Statistics'!$F$7)</c:f>
              <c:numCache>
                <c:formatCode>0%</c:formatCode>
                <c:ptCount val="4"/>
                <c:pt idx="0">
                  <c:v>0.18604651162790697</c:v>
                </c:pt>
                <c:pt idx="1">
                  <c:v>0.25</c:v>
                </c:pt>
                <c:pt idx="2">
                  <c:v>0.11904761904761904</c:v>
                </c:pt>
                <c:pt idx="3">
                  <c:v>0.20634920634920634</c:v>
                </c:pt>
              </c:numCache>
            </c:numRef>
          </c:val>
          <c:smooth val="0"/>
          <c:extLst>
            <c:ext xmlns:c16="http://schemas.microsoft.com/office/drawing/2014/chart" uri="{C3380CC4-5D6E-409C-BE32-E72D297353CC}">
              <c16:uniqueId val="{00000000-0753-4F79-8A81-2026DE223AA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3153519"/>
        <c:axId val="173175119"/>
      </c:lineChart>
      <c:catAx>
        <c:axId val="173153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3175119"/>
        <c:crosses val="autoZero"/>
        <c:auto val="1"/>
        <c:lblAlgn val="ctr"/>
        <c:lblOffset val="100"/>
        <c:noMultiLvlLbl val="0"/>
      </c:catAx>
      <c:valAx>
        <c:axId val="173175119"/>
        <c:scaling>
          <c:orientation val="minMax"/>
        </c:scaling>
        <c:delete val="1"/>
        <c:axPos val="l"/>
        <c:numFmt formatCode="0%" sourceLinked="1"/>
        <c:majorTickMark val="none"/>
        <c:minorTickMark val="none"/>
        <c:tickLblPos val="nextTo"/>
        <c:crossAx val="17315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Count by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 Statistics'!$B$3</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 Statistics'!$A$4,'Summary Statistics'!$A$5,'Summary Statistics'!$A$6,'Summary Statistics'!$A$7)</c:f>
              <c:strCache>
                <c:ptCount val="4"/>
                <c:pt idx="0">
                  <c:v>Car</c:v>
                </c:pt>
                <c:pt idx="1">
                  <c:v>Education</c:v>
                </c:pt>
                <c:pt idx="2">
                  <c:v>Home</c:v>
                </c:pt>
                <c:pt idx="3">
                  <c:v>Personal</c:v>
                </c:pt>
              </c:strCache>
            </c:strRef>
          </c:cat>
          <c:val>
            <c:numRef>
              <c:f>('Summary Statistics'!$B$4,'Summary Statistics'!$B$5,'Summary Statistics'!$B$6,'Summary Statistics'!$B$7)</c:f>
              <c:numCache>
                <c:formatCode>General</c:formatCode>
                <c:ptCount val="4"/>
                <c:pt idx="0">
                  <c:v>43</c:v>
                </c:pt>
                <c:pt idx="1">
                  <c:v>52</c:v>
                </c:pt>
                <c:pt idx="2">
                  <c:v>42</c:v>
                </c:pt>
                <c:pt idx="3">
                  <c:v>63</c:v>
                </c:pt>
              </c:numCache>
            </c:numRef>
          </c:val>
          <c:extLst>
            <c:ext xmlns:c16="http://schemas.microsoft.com/office/drawing/2014/chart" uri="{C3380CC4-5D6E-409C-BE32-E72D297353CC}">
              <c16:uniqueId val="{00000000-C39F-491F-B926-5B355A872E4F}"/>
            </c:ext>
          </c:extLst>
        </c:ser>
        <c:dLbls>
          <c:dLblPos val="inEnd"/>
          <c:showLegendKey val="0"/>
          <c:showVal val="1"/>
          <c:showCatName val="0"/>
          <c:showSerName val="0"/>
          <c:showPercent val="0"/>
          <c:showBubbleSize val="0"/>
        </c:dLbls>
        <c:gapWidth val="100"/>
        <c:overlap val="-24"/>
        <c:axId val="450741951"/>
        <c:axId val="450738111"/>
      </c:barChart>
      <c:catAx>
        <c:axId val="450741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738111"/>
        <c:crosses val="autoZero"/>
        <c:auto val="1"/>
        <c:lblAlgn val="ctr"/>
        <c:lblOffset val="100"/>
        <c:noMultiLvlLbl val="0"/>
      </c:catAx>
      <c:valAx>
        <c:axId val="450738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74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Portfolio Share by Loan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6AE8-4DA3-895C-9897076061C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6AE8-4DA3-895C-9897076061C8}"/>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6AE8-4DA3-895C-9897076061C8}"/>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6AE8-4DA3-895C-9897076061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('Summary Statistics'!$A$4,'Summary Statistics'!$A$5,'Summary Statistics'!$A$6,'Summary Statistics'!$A$7)</c:f>
              <c:strCache>
                <c:ptCount val="4"/>
                <c:pt idx="0">
                  <c:v>Car</c:v>
                </c:pt>
                <c:pt idx="1">
                  <c:v>Education</c:v>
                </c:pt>
                <c:pt idx="2">
                  <c:v>Home</c:v>
                </c:pt>
                <c:pt idx="3">
                  <c:v>Personal</c:v>
                </c:pt>
              </c:strCache>
            </c:strRef>
          </c:cat>
          <c:val>
            <c:numRef>
              <c:f>('Summary Statistics'!$C$4,'Summary Statistics'!$C$5,'Summary Statistics'!$C$6,'Summary Statistics'!$C$7)</c:f>
              <c:numCache>
                <c:formatCode>#,##0.00</c:formatCode>
                <c:ptCount val="4"/>
                <c:pt idx="0">
                  <c:v>40590839</c:v>
                </c:pt>
                <c:pt idx="1">
                  <c:v>52905599</c:v>
                </c:pt>
                <c:pt idx="2">
                  <c:v>49907797</c:v>
                </c:pt>
                <c:pt idx="3">
                  <c:v>59504057</c:v>
                </c:pt>
              </c:numCache>
            </c:numRef>
          </c:val>
          <c:extLst>
            <c:ext xmlns:c16="http://schemas.microsoft.com/office/drawing/2014/chart" uri="{C3380CC4-5D6E-409C-BE32-E72D297353CC}">
              <c16:uniqueId val="{00000008-6AE8-4DA3-895C-9897076061C8}"/>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Default Rate by Loan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rgbClr val="FF0000"/>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('Summary Statistics'!$A$4,'Summary Statistics'!$A$5,'Summary Statistics'!$A$6,'Summary Statistics'!$A$7)</c:f>
              <c:strCache>
                <c:ptCount val="4"/>
                <c:pt idx="0">
                  <c:v>Car</c:v>
                </c:pt>
                <c:pt idx="1">
                  <c:v>Education</c:v>
                </c:pt>
                <c:pt idx="2">
                  <c:v>Home</c:v>
                </c:pt>
                <c:pt idx="3">
                  <c:v>Personal</c:v>
                </c:pt>
              </c:strCache>
            </c:strRef>
          </c:cat>
          <c:val>
            <c:numRef>
              <c:f>('Summary Statistics'!$F$4,'Summary Statistics'!$F$5,'Summary Statistics'!$F$6,'Summary Statistics'!$F$7)</c:f>
              <c:numCache>
                <c:formatCode>0%</c:formatCode>
                <c:ptCount val="4"/>
                <c:pt idx="0">
                  <c:v>0.18604651162790697</c:v>
                </c:pt>
                <c:pt idx="1">
                  <c:v>0.25</c:v>
                </c:pt>
                <c:pt idx="2">
                  <c:v>0.11904761904761904</c:v>
                </c:pt>
                <c:pt idx="3">
                  <c:v>0.20634920634920634</c:v>
                </c:pt>
              </c:numCache>
            </c:numRef>
          </c:val>
          <c:smooth val="0"/>
          <c:extLst>
            <c:ext xmlns:c16="http://schemas.microsoft.com/office/drawing/2014/chart" uri="{C3380CC4-5D6E-409C-BE32-E72D297353CC}">
              <c16:uniqueId val="{00000000-DA2E-49F7-8D83-792E0036314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3153519"/>
        <c:axId val="173175119"/>
      </c:lineChart>
      <c:catAx>
        <c:axId val="173153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3175119"/>
        <c:crosses val="autoZero"/>
        <c:auto val="1"/>
        <c:lblAlgn val="ctr"/>
        <c:lblOffset val="100"/>
        <c:noMultiLvlLbl val="0"/>
      </c:catAx>
      <c:valAx>
        <c:axId val="173175119"/>
        <c:scaling>
          <c:orientation val="minMax"/>
        </c:scaling>
        <c:delete val="1"/>
        <c:axPos val="l"/>
        <c:numFmt formatCode="0%" sourceLinked="1"/>
        <c:majorTickMark val="none"/>
        <c:minorTickMark val="none"/>
        <c:tickLblPos val="nextTo"/>
        <c:crossAx val="17315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9</xdr:col>
      <xdr:colOff>266700</xdr:colOff>
      <xdr:row>24</xdr:row>
      <xdr:rowOff>0</xdr:rowOff>
    </xdr:to>
    <xdr:graphicFrame macro="">
      <xdr:nvGraphicFramePr>
        <xdr:cNvPr id="2" name="Chart 1">
          <a:extLst>
            <a:ext uri="{FF2B5EF4-FFF2-40B4-BE49-F238E27FC236}">
              <a16:creationId xmlns:a16="http://schemas.microsoft.com/office/drawing/2014/main" id="{EAA87F3E-E97E-4EA7-AF6B-20EF77717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502920</xdr:colOff>
      <xdr:row>9</xdr:row>
      <xdr:rowOff>7620</xdr:rowOff>
    </xdr:from>
    <xdr:to>
      <xdr:col>19</xdr:col>
      <xdr:colOff>0</xdr:colOff>
      <xdr:row>24</xdr:row>
      <xdr:rowOff>0</xdr:rowOff>
    </xdr:to>
    <xdr:graphicFrame macro="">
      <xdr:nvGraphicFramePr>
        <xdr:cNvPr id="3" name="Chart 2">
          <a:extLst>
            <a:ext uri="{FF2B5EF4-FFF2-40B4-BE49-F238E27FC236}">
              <a16:creationId xmlns:a16="http://schemas.microsoft.com/office/drawing/2014/main" id="{8636DB4A-65D0-4CF3-AF74-1DD4874E7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7</xdr:col>
      <xdr:colOff>441960</xdr:colOff>
      <xdr:row>42</xdr:row>
      <xdr:rowOff>0</xdr:rowOff>
    </xdr:to>
    <xdr:graphicFrame macro="">
      <xdr:nvGraphicFramePr>
        <xdr:cNvPr id="4" name="Chart 3">
          <a:extLst>
            <a:ext uri="{FF2B5EF4-FFF2-40B4-BE49-F238E27FC236}">
              <a16:creationId xmlns:a16="http://schemas.microsoft.com/office/drawing/2014/main" id="{7B28D468-F9BD-497D-AB75-05C60F98D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8</xdr:row>
      <xdr:rowOff>175261</xdr:rowOff>
    </xdr:from>
    <xdr:to>
      <xdr:col>2</xdr:col>
      <xdr:colOff>190500</xdr:colOff>
      <xdr:row>17</xdr:row>
      <xdr:rowOff>15241</xdr:rowOff>
    </xdr:to>
    <mc:AlternateContent xmlns:mc="http://schemas.openxmlformats.org/markup-compatibility/2006">
      <mc:Choice xmlns:a14="http://schemas.microsoft.com/office/drawing/2010/main" Requires="a14">
        <xdr:graphicFrame macro="">
          <xdr:nvGraphicFramePr>
            <xdr:cNvPr id="2" name="Loan_Type">
              <a:extLst>
                <a:ext uri="{FF2B5EF4-FFF2-40B4-BE49-F238E27FC236}">
                  <a16:creationId xmlns:a16="http://schemas.microsoft.com/office/drawing/2014/main" id="{31674864-E698-A348-0AB8-82249638C78D}"/>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dr:sp macro="" textlink="">
          <xdr:nvSpPr>
            <xdr:cNvPr id="0" name=""/>
            <xdr:cNvSpPr>
              <a:spLocks noTextEdit="1"/>
            </xdr:cNvSpPr>
          </xdr:nvSpPr>
          <xdr:spPr>
            <a:xfrm>
              <a:off x="15240" y="163830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335280</xdr:colOff>
      <xdr:row>9</xdr:row>
      <xdr:rowOff>1</xdr:rowOff>
    </xdr:from>
    <xdr:to>
      <xdr:col>3</xdr:col>
      <xdr:colOff>1264920</xdr:colOff>
      <xdr:row>14</xdr:row>
      <xdr:rowOff>121920</xdr:rowOff>
    </xdr:to>
    <mc:AlternateContent xmlns:mc="http://schemas.openxmlformats.org/markup-compatibility/2006">
      <mc:Choice xmlns:a14="http://schemas.microsoft.com/office/drawing/2010/main" Requires="a14">
        <xdr:graphicFrame macro="">
          <xdr:nvGraphicFramePr>
            <xdr:cNvPr id="3" name="Default_Flag">
              <a:extLst>
                <a:ext uri="{FF2B5EF4-FFF2-40B4-BE49-F238E27FC236}">
                  <a16:creationId xmlns:a16="http://schemas.microsoft.com/office/drawing/2014/main" id="{7A664885-BC33-30A1-941A-0187318DD9B5}"/>
                </a:ext>
              </a:extLst>
            </xdr:cNvPr>
            <xdr:cNvGraphicFramePr/>
          </xdr:nvGraphicFramePr>
          <xdr:xfrm>
            <a:off x="0" y="0"/>
            <a:ext cx="0" cy="0"/>
          </xdr:xfrm>
          <a:graphic>
            <a:graphicData uri="http://schemas.microsoft.com/office/drawing/2010/slicer">
              <sle:slicer xmlns:sle="http://schemas.microsoft.com/office/drawing/2010/slicer" name="Default_Flag"/>
            </a:graphicData>
          </a:graphic>
        </xdr:graphicFrame>
      </mc:Choice>
      <mc:Fallback>
        <xdr:sp macro="" textlink="">
          <xdr:nvSpPr>
            <xdr:cNvPr id="0" name=""/>
            <xdr:cNvSpPr>
              <a:spLocks noTextEdit="1"/>
            </xdr:cNvSpPr>
          </xdr:nvSpPr>
          <xdr:spPr>
            <a:xfrm>
              <a:off x="1988820" y="1645921"/>
              <a:ext cx="182880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556260</xdr:colOff>
      <xdr:row>15</xdr:row>
      <xdr:rowOff>0</xdr:rowOff>
    </xdr:to>
    <xdr:graphicFrame macro="">
      <xdr:nvGraphicFramePr>
        <xdr:cNvPr id="2" name="Chart 1">
          <a:extLst>
            <a:ext uri="{FF2B5EF4-FFF2-40B4-BE49-F238E27FC236}">
              <a16:creationId xmlns:a16="http://schemas.microsoft.com/office/drawing/2014/main" id="{030144B9-1355-466F-8356-A223A4CC2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0</xdr:row>
      <xdr:rowOff>0</xdr:rowOff>
    </xdr:from>
    <xdr:to>
      <xdr:col>16</xdr:col>
      <xdr:colOff>0</xdr:colOff>
      <xdr:row>15</xdr:row>
      <xdr:rowOff>0</xdr:rowOff>
    </xdr:to>
    <xdr:graphicFrame macro="">
      <xdr:nvGraphicFramePr>
        <xdr:cNvPr id="3" name="Chart 2">
          <a:extLst>
            <a:ext uri="{FF2B5EF4-FFF2-40B4-BE49-F238E27FC236}">
              <a16:creationId xmlns:a16="http://schemas.microsoft.com/office/drawing/2014/main" id="{2D784806-DBA9-4573-A30B-48848A874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518160</xdr:colOff>
      <xdr:row>31</xdr:row>
      <xdr:rowOff>0</xdr:rowOff>
    </xdr:to>
    <xdr:graphicFrame macro="">
      <xdr:nvGraphicFramePr>
        <xdr:cNvPr id="4" name="Chart 3">
          <a:extLst>
            <a:ext uri="{FF2B5EF4-FFF2-40B4-BE49-F238E27FC236}">
              <a16:creationId xmlns:a16="http://schemas.microsoft.com/office/drawing/2014/main" id="{9DE6AEB2-019C-42D9-9EB8-47E7A01F0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kude" refreshedDate="46136.917205555554" createdVersion="8" refreshedVersion="8" minRefreshableVersion="3" recordCount="200" xr:uid="{51E95069-5041-4CD3-8900-7C506049992C}">
  <cacheSource type="worksheet">
    <worksheetSource name="Table1"/>
  </cacheSource>
  <cacheFields count="10">
    <cacheField name="Loan_ID" numFmtId="0">
      <sharedItems/>
    </cacheField>
    <cacheField name="Customer_ID=" numFmtId="0">
      <sharedItems/>
    </cacheField>
    <cacheField name="Loan_Type" numFmtId="0">
      <sharedItems count="4">
        <s v="Education"/>
        <s v="Personal"/>
        <s v="Car"/>
        <s v="Home"/>
      </sharedItems>
    </cacheField>
    <cacheField name="Loan_Amount" numFmtId="0">
      <sharedItems containsSemiMixedTypes="0" containsString="0" containsNumber="1" containsInteger="1" minValue="57757" maxValue="1984155"/>
    </cacheField>
    <cacheField name="Interest_Rate (%)" numFmtId="0">
      <sharedItems containsSemiMixedTypes="0" containsString="0" containsNumber="1" minValue="7.07" maxValue="14.96"/>
    </cacheField>
    <cacheField name="Tenure (Years)" numFmtId="0">
      <sharedItems containsSemiMixedTypes="0" containsString="0" containsNumber="1" containsInteger="1" minValue="1" maxValue="20"/>
    </cacheField>
    <cacheField name="EMI" numFmtId="4">
      <sharedItems containsSemiMixedTypes="0" containsString="0" containsNumber="1" minValue="768.24253280224343" maxValue="39435.894160808471"/>
    </cacheField>
    <cacheField name="Total_Payment" numFmtId="4">
      <sharedItems containsSemiMixedTypes="0" containsString="0" containsNumber="1" minValue="92540.92601916795" maxValue="5146517.9385107337"/>
    </cacheField>
    <cacheField name="Interest_Paid" numFmtId="4">
      <sharedItems containsSemiMixedTypes="0" containsString="0" containsNumber="1" minValue="10139.420059381373" maxValue="3422072.9385107337"/>
    </cacheField>
    <cacheField name="Default_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2031353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L001"/>
    <s v="C123"/>
    <x v="0"/>
    <n v="519737"/>
    <n v="11.93"/>
    <n v="14"/>
    <n v="7486.2732135138376"/>
    <n v="1071734.8732466409"/>
    <n v="551997.8732466409"/>
    <x v="0"/>
  </r>
  <r>
    <s v="L002"/>
    <s v="C124"/>
    <x v="1"/>
    <n v="1137004"/>
    <n v="11.14"/>
    <n v="4"/>
    <n v="10554.630957112548"/>
    <n v="1410943.0663468053"/>
    <n v="273939.06634680531"/>
    <x v="0"/>
  </r>
  <r>
    <s v="L003"/>
    <s v="C125"/>
    <x v="2"/>
    <n v="506136"/>
    <n v="13.89"/>
    <n v="14"/>
    <n v="6903.6232635624165"/>
    <n v="1150695.9255705837"/>
    <n v="644559.92557058367"/>
    <x v="0"/>
  </r>
  <r>
    <s v="L004"/>
    <s v="C126"/>
    <x v="2"/>
    <n v="1280646"/>
    <n v="11.96"/>
    <n v="10"/>
    <n v="15331.285404311488"/>
    <n v="2200346.0812267847"/>
    <n v="919700.08122678474"/>
    <x v="0"/>
  </r>
  <r>
    <s v="L005"/>
    <s v="C127"/>
    <x v="1"/>
    <n v="556801"/>
    <n v="11.7"/>
    <n v="14"/>
    <n v="8081.82819850941"/>
    <n v="1134688.6790707211"/>
    <n v="577887.67907072115"/>
    <x v="0"/>
  </r>
  <r>
    <s v="L006"/>
    <s v="C128"/>
    <x v="0"/>
    <n v="1166688"/>
    <n v="13.2"/>
    <n v="19"/>
    <n v="20145.584397308674"/>
    <n v="3191060.5685336934"/>
    <n v="2024372.5685336934"/>
    <x v="0"/>
  </r>
  <r>
    <s v="L007"/>
    <s v="C129"/>
    <x v="1"/>
    <n v="706938"/>
    <n v="9.94"/>
    <n v="8"/>
    <n v="8610.9663550095847"/>
    <n v="1027116.0668255433"/>
    <n v="320178.0668255433"/>
    <x v="0"/>
  </r>
  <r>
    <s v="L008"/>
    <s v="C130"/>
    <x v="0"/>
    <n v="179148"/>
    <n v="14.74"/>
    <n v="20"/>
    <n v="3155.3506998965731"/>
    <n v="558118.43179770582"/>
    <n v="378970.43179770582"/>
    <x v="1"/>
  </r>
  <r>
    <s v="L009"/>
    <s v="C131"/>
    <x v="1"/>
    <n v="1388636"/>
    <n v="9.32"/>
    <n v="2"/>
    <n v="13619.713505529535"/>
    <n v="1523228.7584584232"/>
    <n v="134592.7584584232"/>
    <x v="1"/>
  </r>
  <r>
    <s v="L010"/>
    <s v="C132"/>
    <x v="3"/>
    <n v="347227"/>
    <n v="7.9"/>
    <n v="15"/>
    <n v="6272.1656927418335"/>
    <n v="594601.30767192575"/>
    <n v="247374.30767192575"/>
    <x v="1"/>
  </r>
  <r>
    <s v="L011"/>
    <s v="C133"/>
    <x v="0"/>
    <n v="387832"/>
    <n v="13.83"/>
    <n v="17"/>
    <n v="6083.4642147220311"/>
    <n v="1009611.7210752682"/>
    <n v="621779.72107526823"/>
    <x v="0"/>
  </r>
  <r>
    <s v="L012"/>
    <s v="C134"/>
    <x v="1"/>
    <n v="1003329"/>
    <n v="13.62"/>
    <n v="11"/>
    <n v="11868.296997489806"/>
    <n v="1939754.461269734"/>
    <n v="936425.46126973396"/>
    <x v="1"/>
  </r>
  <r>
    <s v="L013"/>
    <s v="C135"/>
    <x v="3"/>
    <n v="1526394"/>
    <n v="10.69"/>
    <n v="6"/>
    <n v="16148.794820491006"/>
    <n v="2071567.3995725862"/>
    <n v="545173.39957258618"/>
    <x v="0"/>
  </r>
  <r>
    <s v="L014"/>
    <s v="C136"/>
    <x v="0"/>
    <n v="706299"/>
    <n v="12.72"/>
    <n v="17"/>
    <n v="11329.245841871363"/>
    <n v="1729296.0853032451"/>
    <n v="1022997.0853032451"/>
    <x v="0"/>
  </r>
  <r>
    <s v="L015"/>
    <s v="C137"/>
    <x v="0"/>
    <n v="1641014"/>
    <n v="14.62"/>
    <n v="10"/>
    <n v="17833.556226140914"/>
    <n v="3128719.1043141619"/>
    <n v="1487705.1043141619"/>
    <x v="1"/>
  </r>
  <r>
    <s v="L016"/>
    <s v="C138"/>
    <x v="1"/>
    <n v="255970"/>
    <n v="8.83"/>
    <n v="8"/>
    <n v="3376.3028671434208"/>
    <n v="357753.05180251686"/>
    <n v="101783.05180251686"/>
    <x v="0"/>
  </r>
  <r>
    <s v="L017"/>
    <s v="C139"/>
    <x v="2"/>
    <n v="927667"/>
    <n v="14.54"/>
    <n v="8"/>
    <n v="9011.1984081092742"/>
    <n v="1572273.898246906"/>
    <n v="644606.898246906"/>
    <x v="1"/>
  </r>
  <r>
    <s v="L018"/>
    <s v="C140"/>
    <x v="2"/>
    <n v="1489379"/>
    <n v="14.73"/>
    <n v="9"/>
    <n v="15237.842882829216"/>
    <n v="2693441.1079688924"/>
    <n v="1204062.1079688924"/>
    <x v="0"/>
  </r>
  <r>
    <s v="L019"/>
    <s v="C141"/>
    <x v="0"/>
    <n v="1973160"/>
    <n v="12.94"/>
    <n v="7"/>
    <n v="19353.92935943263"/>
    <n v="3005278.1509326985"/>
    <n v="1032118.1509326985"/>
    <x v="0"/>
  </r>
  <r>
    <s v="L020"/>
    <s v="C142"/>
    <x v="1"/>
    <n v="367709"/>
    <n v="10.130000000000001"/>
    <n v="16"/>
    <n v="6127.4851064357772"/>
    <n v="744857.08953833312"/>
    <n v="377148.08953833312"/>
    <x v="0"/>
  </r>
  <r>
    <s v="L021"/>
    <s v="C143"/>
    <x v="1"/>
    <n v="429364"/>
    <n v="11.08"/>
    <n v="12"/>
    <n v="5852.3260853863067"/>
    <n v="778125.27631296334"/>
    <n v="348761.27631296334"/>
    <x v="0"/>
  </r>
  <r>
    <s v="L022"/>
    <s v="C144"/>
    <x v="1"/>
    <n v="361488"/>
    <n v="8.68"/>
    <n v="17"/>
    <n v="6659.5859872754836"/>
    <n v="693662.47643461439"/>
    <n v="332174.47643461439"/>
    <x v="0"/>
  </r>
  <r>
    <s v="L023"/>
    <s v="C145"/>
    <x v="0"/>
    <n v="79934"/>
    <n v="12.97"/>
    <n v="13"/>
    <n v="1065.036727703806"/>
    <n v="165762.31629982038"/>
    <n v="85828.316299820377"/>
    <x v="0"/>
  </r>
  <r>
    <s v="L024"/>
    <s v="C146"/>
    <x v="1"/>
    <n v="1705079"/>
    <n v="12.82"/>
    <n v="17"/>
    <n v="27289.559081355888"/>
    <n v="4198225.7690757904"/>
    <n v="2493146.7690757904"/>
    <x v="0"/>
  </r>
  <r>
    <s v="L025"/>
    <s v="C147"/>
    <x v="1"/>
    <n v="548454"/>
    <n v="8.07"/>
    <n v="20"/>
    <n v="11451.256556105889"/>
    <n v="1108939.6848932942"/>
    <n v="560485.68489329424"/>
    <x v="0"/>
  </r>
  <r>
    <s v="L026"/>
    <s v="C148"/>
    <x v="0"/>
    <n v="1631560"/>
    <n v="9.15"/>
    <n v="11"/>
    <n v="23633.678440726122"/>
    <n v="2594977.8927917285"/>
    <n v="963417.89279172849"/>
    <x v="0"/>
  </r>
  <r>
    <s v="L027"/>
    <s v="C149"/>
    <x v="2"/>
    <n v="613542"/>
    <n v="9.76"/>
    <n v="15"/>
    <n v="10004.503665658591"/>
    <n v="1171727.469321934"/>
    <n v="558185.46932193404"/>
    <x v="0"/>
  </r>
  <r>
    <s v="L028"/>
    <s v="C150"/>
    <x v="2"/>
    <n v="1402450"/>
    <n v="7.07"/>
    <n v="15"/>
    <n v="26910.838543816324"/>
    <n v="2283115.5420573773"/>
    <n v="880665.54205737729"/>
    <x v="0"/>
  </r>
  <r>
    <s v="L029"/>
    <s v="C151"/>
    <x v="1"/>
    <n v="67222"/>
    <n v="10.98"/>
    <n v="8"/>
    <n v="768.24253280224343"/>
    <n v="101223.6361220236"/>
    <n v="34001.636122023599"/>
    <x v="1"/>
  </r>
  <r>
    <s v="L030"/>
    <s v="C152"/>
    <x v="0"/>
    <n v="108242"/>
    <n v="9.7100000000000009"/>
    <n v="2"/>
    <n v="1022.847252635643"/>
    <n v="119182.16187710514"/>
    <n v="10940.161877105144"/>
    <x v="1"/>
  </r>
  <r>
    <s v="L031"/>
    <s v="C153"/>
    <x v="0"/>
    <n v="839526"/>
    <n v="11.09"/>
    <n v="9"/>
    <n v="9993.6325585785289"/>
    <n v="1329952.6208956307"/>
    <n v="490426.62089563068"/>
    <x v="0"/>
  </r>
  <r>
    <s v="L032"/>
    <s v="C154"/>
    <x v="3"/>
    <n v="195676"/>
    <n v="14.11"/>
    <n v="3"/>
    <n v="1418.8804166609571"/>
    <n v="240244.83214903323"/>
    <n v="44568.832149033231"/>
    <x v="0"/>
  </r>
  <r>
    <s v="L033"/>
    <s v="C155"/>
    <x v="1"/>
    <n v="1569071"/>
    <n v="14.29"/>
    <n v="2"/>
    <n v="10527.498448870585"/>
    <n v="1805255.4340123278"/>
    <n v="236184.43401232781"/>
    <x v="1"/>
  </r>
  <r>
    <s v="L034"/>
    <s v="C156"/>
    <x v="2"/>
    <n v="1756240"/>
    <n v="14.95"/>
    <n v="9"/>
    <n v="17841.202173367423"/>
    <n v="3200711.6699021161"/>
    <n v="1444471.6699021161"/>
    <x v="0"/>
  </r>
  <r>
    <s v="L035"/>
    <s v="C157"/>
    <x v="1"/>
    <n v="1208176"/>
    <n v="10.1"/>
    <n v="6"/>
    <n v="13316.256285656344"/>
    <n v="1613930.2618215489"/>
    <n v="405754.26182154892"/>
    <x v="0"/>
  </r>
  <r>
    <s v="L036"/>
    <s v="C158"/>
    <x v="3"/>
    <n v="1366080"/>
    <n v="10.87"/>
    <n v="20"/>
    <n v="25749.184855447842"/>
    <n v="3358723.6725446163"/>
    <n v="1992643.6725446163"/>
    <x v="0"/>
  </r>
  <r>
    <s v="L037"/>
    <s v="C159"/>
    <x v="1"/>
    <n v="1798970"/>
    <n v="14.87"/>
    <n v="1"/>
    <n v="10853.985328266834"/>
    <n v="1936785.1419759337"/>
    <n v="137815.14197593369"/>
    <x v="0"/>
  </r>
  <r>
    <s v="L038"/>
    <s v="C160"/>
    <x v="0"/>
    <n v="942383"/>
    <n v="8.07"/>
    <n v="13"/>
    <n v="15760.563698425942"/>
    <n v="1526252.9885555683"/>
    <n v="583869.98855556827"/>
    <x v="0"/>
  </r>
  <r>
    <s v="L039"/>
    <s v="C161"/>
    <x v="1"/>
    <n v="1696358"/>
    <n v="13.35"/>
    <n v="20"/>
    <n v="30426.627700428195"/>
    <n v="4874345.7576085962"/>
    <n v="3177987.7576085962"/>
    <x v="0"/>
  </r>
  <r>
    <s v="L040"/>
    <s v="C162"/>
    <x v="1"/>
    <n v="892354"/>
    <n v="12.52"/>
    <n v="3"/>
    <n v="7131.963785705324"/>
    <n v="1071506.2391643678"/>
    <n v="179152.23916436778"/>
    <x v="1"/>
  </r>
  <r>
    <s v="L041"/>
    <s v="C163"/>
    <x v="2"/>
    <n v="1615010"/>
    <n v="8.07"/>
    <n v="7"/>
    <n v="21876.015742099236"/>
    <n v="2118473.3644648902"/>
    <n v="503463.36446489021"/>
    <x v="0"/>
  </r>
  <r>
    <s v="L042"/>
    <s v="C164"/>
    <x v="3"/>
    <n v="1976897"/>
    <n v="9.67"/>
    <n v="7"/>
    <n v="23495.665374880537"/>
    <n v="2726437.0101011377"/>
    <n v="749540.01010113768"/>
    <x v="0"/>
  </r>
  <r>
    <s v="L043"/>
    <s v="C165"/>
    <x v="0"/>
    <n v="1387543"/>
    <n v="8.34"/>
    <n v="1"/>
    <n v="14456.289361267562"/>
    <n v="1446785.4392756575"/>
    <n v="59242.439275657525"/>
    <x v="0"/>
  </r>
  <r>
    <s v="L044"/>
    <s v="C166"/>
    <x v="1"/>
    <n v="1944766"/>
    <n v="11.89"/>
    <n v="14"/>
    <n v="28049.082748047"/>
    <n v="4002043.1264913459"/>
    <n v="2057277.1264913459"/>
    <x v="0"/>
  </r>
  <r>
    <s v="L045"/>
    <s v="C167"/>
    <x v="0"/>
    <n v="358798"/>
    <n v="8.27"/>
    <n v="20"/>
    <n v="7418.473015133075"/>
    <n v="736209.26202180632"/>
    <n v="377411.26202180632"/>
    <x v="0"/>
  </r>
  <r>
    <s v="L046"/>
    <s v="C168"/>
    <x v="3"/>
    <n v="1158811"/>
    <n v="14.72"/>
    <n v="19"/>
    <n v="19568.032043886928"/>
    <n v="3456497.1802321868"/>
    <n v="2297686.1802321868"/>
    <x v="1"/>
  </r>
  <r>
    <s v="L047"/>
    <s v="C169"/>
    <x v="0"/>
    <n v="1652458"/>
    <n v="11.01"/>
    <n v="14"/>
    <n v="24590.142330578095"/>
    <n v="3248849.6047159778"/>
    <n v="1596391.6047159778"/>
    <x v="0"/>
  </r>
  <r>
    <s v="L048"/>
    <s v="C170"/>
    <x v="1"/>
    <n v="856874"/>
    <n v="11.15"/>
    <n v="3"/>
    <n v="7542.7630963762413"/>
    <n v="1009221.7022951411"/>
    <n v="152347.70229514106"/>
    <x v="0"/>
  </r>
  <r>
    <s v="L049"/>
    <s v="C171"/>
    <x v="3"/>
    <n v="1112345"/>
    <n v="13.67"/>
    <n v="15"/>
    <n v="15987.782220453901"/>
    <n v="2622635.7954432582"/>
    <n v="1510290.7954432582"/>
    <x v="0"/>
  </r>
  <r>
    <s v="L050"/>
    <s v="C172"/>
    <x v="1"/>
    <n v="884652"/>
    <n v="9.77"/>
    <n v="6"/>
    <n v="9990.4478828280462"/>
    <n v="1171280.10978276"/>
    <n v="286628.10978276003"/>
    <x v="0"/>
  </r>
  <r>
    <s v="L051"/>
    <s v="C173"/>
    <x v="3"/>
    <n v="1728619"/>
    <n v="12.81"/>
    <n v="15"/>
    <n v="25365.396373733027"/>
    <n v="3899168.7305702409"/>
    <n v="2170549.7305702409"/>
    <x v="0"/>
  </r>
  <r>
    <s v="L052"/>
    <s v="C174"/>
    <x v="1"/>
    <n v="1476583"/>
    <n v="7.98"/>
    <n v="12"/>
    <n v="24034.601382288332"/>
    <n v="2301553.4283679305"/>
    <n v="824970.42836793046"/>
    <x v="0"/>
  </r>
  <r>
    <s v="L053"/>
    <s v="C175"/>
    <x v="2"/>
    <n v="339167"/>
    <n v="7.72"/>
    <n v="17"/>
    <n v="6597.0421025368942"/>
    <n v="611149.98037901788"/>
    <n v="271982.98037901788"/>
    <x v="0"/>
  </r>
  <r>
    <s v="L054"/>
    <s v="C126"/>
    <x v="3"/>
    <n v="904607"/>
    <n v="12.06"/>
    <n v="2"/>
    <n v="7040.0358680614017"/>
    <n v="1018833.9908258461"/>
    <n v="114226.99082584609"/>
    <x v="0"/>
  </r>
  <r>
    <s v="L055"/>
    <s v="C116"/>
    <x v="3"/>
    <n v="1759358"/>
    <n v="7.18"/>
    <n v="16"/>
    <n v="34468.458769833473"/>
    <n v="2969802.4076088518"/>
    <n v="1210444.4076088518"/>
    <x v="0"/>
  </r>
  <r>
    <s v="L056"/>
    <s v="C144"/>
    <x v="2"/>
    <n v="406720"/>
    <n v="11.4"/>
    <n v="12"/>
    <n v="5469.2514771627266"/>
    <n v="748193.60207586107"/>
    <n v="341473.60207586107"/>
    <x v="0"/>
  </r>
  <r>
    <s v="L057"/>
    <s v="C165"/>
    <x v="1"/>
    <n v="215797"/>
    <n v="13.36"/>
    <n v="15"/>
    <n v="3123.7979244688813"/>
    <n v="500807.28325085109"/>
    <n v="285010.28325085109"/>
    <x v="0"/>
  </r>
  <r>
    <s v="L058"/>
    <s v="C186"/>
    <x v="2"/>
    <n v="513004"/>
    <n v="8.2200000000000006"/>
    <n v="2"/>
    <n v="5644.3051652866161"/>
    <n v="556754.26150387188"/>
    <n v="43750.26150387188"/>
    <x v="1"/>
  </r>
  <r>
    <s v="L059"/>
    <s v="C125"/>
    <x v="1"/>
    <n v="1530587"/>
    <n v="12.13"/>
    <n v="19"/>
    <n v="26975.153235559304"/>
    <n v="3926503.3049680125"/>
    <n v="2395916.3049680125"/>
    <x v="1"/>
  </r>
  <r>
    <s v="L060"/>
    <s v="C197"/>
    <x v="3"/>
    <n v="1496777"/>
    <n v="11.66"/>
    <n v="18"/>
    <n v="25645.23711452015"/>
    <n v="3588281.5770636597"/>
    <n v="2091504.5770636597"/>
    <x v="1"/>
  </r>
  <r>
    <s v="L061"/>
    <s v="C185"/>
    <x v="2"/>
    <n v="500507"/>
    <n v="7.53"/>
    <n v="2"/>
    <n v="5971.1927823687438"/>
    <n v="539556.97981483978"/>
    <n v="39049.979814839782"/>
    <x v="0"/>
  </r>
  <r>
    <s v="L062"/>
    <s v="C133"/>
    <x v="0"/>
    <n v="786275"/>
    <n v="9"/>
    <n v="9"/>
    <n v="10648.450501245496"/>
    <n v="1150032.6541345133"/>
    <n v="363757.65413451334"/>
    <x v="0"/>
  </r>
  <r>
    <s v="L063"/>
    <s v="C187"/>
    <x v="1"/>
    <n v="1190022"/>
    <n v="11.67"/>
    <n v="15"/>
    <n v="18043.362863146653"/>
    <n v="2526792.5353550571"/>
    <n v="1336770.5353550571"/>
    <x v="0"/>
  </r>
  <r>
    <s v="L064"/>
    <s v="C124"/>
    <x v="3"/>
    <n v="1193507"/>
    <n v="9.6999999999999993"/>
    <n v="6"/>
    <n v="13549.971949679126"/>
    <n v="1577216.7349426502"/>
    <n v="383709.73494265019"/>
    <x v="1"/>
  </r>
  <r>
    <s v="L065"/>
    <s v="C100"/>
    <x v="2"/>
    <n v="188783"/>
    <n v="12.49"/>
    <n v="5"/>
    <n v="1696.0698712264523"/>
    <n v="254206.95229942066"/>
    <n v="65423.952299420664"/>
    <x v="0"/>
  </r>
  <r>
    <s v="L066"/>
    <s v="C168"/>
    <x v="1"/>
    <n v="1567726"/>
    <n v="10.02"/>
    <n v="10"/>
    <n v="20693.49423997679"/>
    <n v="2488185.7474148092"/>
    <n v="920459.74741480919"/>
    <x v="0"/>
  </r>
  <r>
    <s v="L067"/>
    <s v="C155"/>
    <x v="3"/>
    <n v="1688035"/>
    <n v="14.52"/>
    <n v="6"/>
    <n v="14535.947377664233"/>
    <n v="2532743.4710842161"/>
    <n v="844708.47108421614"/>
    <x v="0"/>
  </r>
  <r>
    <s v="L068"/>
    <s v="C147"/>
    <x v="1"/>
    <n v="941907"/>
    <n v="7.7"/>
    <n v="3"/>
    <n v="11429.151992050605"/>
    <n v="1056053.644065476"/>
    <n v="114146.64406547602"/>
    <x v="0"/>
  </r>
  <r>
    <s v="L069"/>
    <s v="C179"/>
    <x v="1"/>
    <n v="1151061"/>
    <n v="8.1"/>
    <n v="7"/>
    <n v="15548.625839333496"/>
    <n v="1511326.4315832157"/>
    <n v="360265.43158321572"/>
    <x v="0"/>
  </r>
  <r>
    <s v="L070"/>
    <s v="C160"/>
    <x v="2"/>
    <n v="1724445"/>
    <n v="14.73"/>
    <n v="19"/>
    <n v="29115.851654846872"/>
    <n v="5146517.9385107337"/>
    <n v="3422072.9385107337"/>
    <x v="0"/>
  </r>
  <r>
    <s v="L071"/>
    <s v="C195"/>
    <x v="3"/>
    <n v="1429923"/>
    <n v="11.19"/>
    <n v="17"/>
    <n v="23866.595386006458"/>
    <n v="3204806.428432947"/>
    <n v="1774883.428432947"/>
    <x v="0"/>
  </r>
  <r>
    <s v="L072"/>
    <s v="C146"/>
    <x v="2"/>
    <n v="1511312"/>
    <n v="9.3699999999999992"/>
    <n v="13"/>
    <n v="23313.937183654929"/>
    <n v="2621419.0969301597"/>
    <n v="1110107.0969301597"/>
    <x v="0"/>
  </r>
  <r>
    <s v="L073"/>
    <s v="C168"/>
    <x v="0"/>
    <n v="1123938"/>
    <n v="8.42"/>
    <n v="1"/>
    <n v="11603.20371859288"/>
    <n v="1172387.7037266246"/>
    <n v="48449.703726624604"/>
    <x v="0"/>
  </r>
  <r>
    <s v="L074"/>
    <s v="C108"/>
    <x v="0"/>
    <n v="1231757"/>
    <n v="9.2100000000000009"/>
    <n v="8"/>
    <n v="15786.137344581894"/>
    <n v="1744683.899323191"/>
    <n v="512926.89932319103"/>
    <x v="1"/>
  </r>
  <r>
    <s v="L075"/>
    <s v="C153"/>
    <x v="3"/>
    <n v="1251744"/>
    <n v="11.26"/>
    <n v="12"/>
    <n v="16930.856348247347"/>
    <n v="2287697.3097751816"/>
    <n v="1035953.3097751816"/>
    <x v="0"/>
  </r>
  <r>
    <s v="L076"/>
    <s v="C123"/>
    <x v="2"/>
    <n v="612267"/>
    <n v="9.39"/>
    <n v="19"/>
    <n v="11684.18433226143"/>
    <n v="1316573.8905592179"/>
    <n v="704306.89055921789"/>
    <x v="0"/>
  </r>
  <r>
    <s v="L077"/>
    <s v="C153"/>
    <x v="1"/>
    <n v="1348194"/>
    <n v="12.46"/>
    <n v="17"/>
    <n v="21754.523181004097"/>
    <n v="3252736.3060237328"/>
    <n v="1904542.3060237328"/>
    <x v="0"/>
  </r>
  <r>
    <s v="L078"/>
    <s v="C118"/>
    <x v="3"/>
    <n v="514933"/>
    <n v="13.16"/>
    <n v="8"/>
    <n v="5282.8321204983504"/>
    <n v="834264.8484690995"/>
    <n v="319331.8484690995"/>
    <x v="0"/>
  </r>
  <r>
    <s v="L079"/>
    <s v="C186"/>
    <x v="2"/>
    <n v="1134224"/>
    <n v="13.73"/>
    <n v="4"/>
    <n v="8957.8236198209925"/>
    <n v="1475891.0196017069"/>
    <n v="341667.01960170688"/>
    <x v="1"/>
  </r>
  <r>
    <s v="L080"/>
    <s v="C108"/>
    <x v="1"/>
    <n v="755507"/>
    <n v="10.29"/>
    <n v="16"/>
    <n v="12511.256285074898"/>
    <n v="1544889.9260810483"/>
    <n v="789382.92608104832"/>
    <x v="0"/>
  </r>
  <r>
    <s v="L081"/>
    <s v="C188"/>
    <x v="2"/>
    <n v="1070485"/>
    <n v="13.09"/>
    <n v="18"/>
    <n v="17771.370455984419"/>
    <n v="2791526.8712260323"/>
    <n v="1721041.8712260323"/>
    <x v="0"/>
  </r>
  <r>
    <s v="L082"/>
    <s v="C167"/>
    <x v="0"/>
    <n v="1877347"/>
    <n v="10.55"/>
    <n v="11"/>
    <n v="25122.293939571286"/>
    <n v="3180482.4127497249"/>
    <n v="1303135.4127497249"/>
    <x v="1"/>
  </r>
  <r>
    <s v="L083"/>
    <s v="C150"/>
    <x v="1"/>
    <n v="1328398"/>
    <n v="12.68"/>
    <n v="5"/>
    <n v="11805.838050007773"/>
    <n v="1796376.3176891827"/>
    <n v="467978.3176891827"/>
    <x v="0"/>
  </r>
  <r>
    <s v="L084"/>
    <s v="C106"/>
    <x v="2"/>
    <n v="792917"/>
    <n v="7.98"/>
    <n v="13"/>
    <n v="13345.814435075361"/>
    <n v="1277995.1903028167"/>
    <n v="485078.19030281669"/>
    <x v="0"/>
  </r>
  <r>
    <s v="L085"/>
    <s v="C200"/>
    <x v="3"/>
    <n v="1354168"/>
    <n v="12.22"/>
    <n v="12"/>
    <n v="17642.538968970119"/>
    <n v="2587101.9144097781"/>
    <n v="1232933.9144097781"/>
    <x v="0"/>
  </r>
  <r>
    <s v="L086"/>
    <s v="C108"/>
    <x v="3"/>
    <n v="1510601"/>
    <n v="14.08"/>
    <n v="16"/>
    <n v="22546.64182204946"/>
    <n v="3809480.6022534771"/>
    <n v="2298879.6022534771"/>
    <x v="0"/>
  </r>
  <r>
    <s v="L087"/>
    <s v="C164"/>
    <x v="3"/>
    <n v="365027"/>
    <n v="11.76"/>
    <n v="15"/>
    <n v="5518.9515006668598"/>
    <n v="778834.43577410723"/>
    <n v="413807.43577410723"/>
    <x v="0"/>
  </r>
  <r>
    <s v="L088"/>
    <s v="C156"/>
    <x v="1"/>
    <n v="60296"/>
    <n v="9.34"/>
    <n v="10"/>
    <n v="829.84101637054459"/>
    <n v="93008.581114810644"/>
    <n v="32712.581114810644"/>
    <x v="1"/>
  </r>
  <r>
    <s v="L089"/>
    <s v="C175"/>
    <x v="1"/>
    <n v="969684"/>
    <n v="10.42"/>
    <n v="8"/>
    <n v="11455.60678354355"/>
    <n v="1432409.0722142854"/>
    <n v="462725.07221428538"/>
    <x v="0"/>
  </r>
  <r>
    <s v="L090"/>
    <s v="C117"/>
    <x v="1"/>
    <n v="228906"/>
    <n v="12.31"/>
    <n v="18"/>
    <n v="3861.7658589956586"/>
    <n v="570460.0526908387"/>
    <n v="341554.0526908387"/>
    <x v="0"/>
  </r>
  <r>
    <s v="L091"/>
    <s v="C169"/>
    <x v="1"/>
    <n v="1638614"/>
    <n v="9.34"/>
    <n v="3"/>
    <n v="16781.984458630948"/>
    <n v="1880924.8181233567"/>
    <n v="242310.81812335667"/>
    <x v="1"/>
  </r>
  <r>
    <s v="L092"/>
    <s v="C159"/>
    <x v="2"/>
    <n v="447318"/>
    <n v="8.8800000000000008"/>
    <n v="4"/>
    <n v="4994.296424538702"/>
    <n v="532192.22699884418"/>
    <n v="84874.226998844184"/>
    <x v="0"/>
  </r>
  <r>
    <s v="L093"/>
    <s v="C132"/>
    <x v="0"/>
    <n v="472780"/>
    <n v="12.59"/>
    <n v="8"/>
    <n v="4975.0322999577484"/>
    <n v="751627.87987761665"/>
    <n v="278847.87987761665"/>
    <x v="0"/>
  </r>
  <r>
    <s v="L094"/>
    <s v="C127"/>
    <x v="2"/>
    <n v="1117581"/>
    <n v="8.86"/>
    <n v="8"/>
    <n v="14706.766274818221"/>
    <n v="1563623.3903386733"/>
    <n v="446042.39033867326"/>
    <x v="0"/>
  </r>
  <r>
    <s v="L095"/>
    <s v="C184"/>
    <x v="2"/>
    <n v="511939"/>
    <n v="9.91"/>
    <n v="5"/>
    <n v="5467.9436727126576"/>
    <n v="650247.86155898927"/>
    <n v="138308.86155898927"/>
    <x v="0"/>
  </r>
  <r>
    <s v="L096"/>
    <s v="C164"/>
    <x v="0"/>
    <n v="821715"/>
    <n v="9.56"/>
    <n v="15"/>
    <n v="13523.619925488387"/>
    <n v="1551429.6778520278"/>
    <n v="729714.67785202782"/>
    <x v="1"/>
  </r>
  <r>
    <s v="L097"/>
    <s v="C135"/>
    <x v="0"/>
    <n v="1712192"/>
    <n v="8.98"/>
    <n v="13"/>
    <n v="27004.925422166918"/>
    <n v="2910050.7634927072"/>
    <n v="1197858.7634927072"/>
    <x v="0"/>
  </r>
  <r>
    <s v="L098"/>
    <s v="C163"/>
    <x v="0"/>
    <n v="1842272"/>
    <n v="13.29"/>
    <n v="3"/>
    <n v="14021.447211357572"/>
    <n v="2236140.4012673055"/>
    <n v="393868.40126730548"/>
    <x v="1"/>
  </r>
  <r>
    <s v="L099"/>
    <s v="C109"/>
    <x v="3"/>
    <n v="121933"/>
    <n v="8.92"/>
    <n v="20"/>
    <n v="2449.7904667057664"/>
    <n v="262225.57155618526"/>
    <n v="140292.57155618526"/>
    <x v="0"/>
  </r>
  <r>
    <s v="L100"/>
    <s v="C144"/>
    <x v="0"/>
    <n v="835707"/>
    <n v="14.77"/>
    <n v="19"/>
    <n v="14103.20165204166"/>
    <n v="2499651.4608078636"/>
    <n v="1663944.4608078636"/>
    <x v="0"/>
  </r>
  <r>
    <s v="L101"/>
    <s v="C107"/>
    <x v="3"/>
    <n v="1808375"/>
    <n v="14.19"/>
    <n v="15"/>
    <n v="25704.562541861964"/>
    <n v="4376972.9096282553"/>
    <n v="2568597.9096282553"/>
    <x v="0"/>
  </r>
  <r>
    <s v="L102"/>
    <s v="C133"/>
    <x v="1"/>
    <n v="1474181"/>
    <n v="10.71"/>
    <n v="12"/>
    <n v="20428.390518877"/>
    <n v="2625456.7494860725"/>
    <n v="1151275.7494860725"/>
    <x v="1"/>
  </r>
  <r>
    <s v="L103"/>
    <s v="C134"/>
    <x v="3"/>
    <n v="1840049"/>
    <n v="14.63"/>
    <n v="10"/>
    <n v="19990.498598279468"/>
    <n v="3509531.9339139434"/>
    <n v="1669482.9339139434"/>
    <x v="0"/>
  </r>
  <r>
    <s v="L104"/>
    <s v="C120"/>
    <x v="1"/>
    <n v="1733250"/>
    <n v="13.84"/>
    <n v="15"/>
    <n v="24819.014664973074"/>
    <n v="4121941.9555587284"/>
    <n v="2388691.9555587284"/>
    <x v="1"/>
  </r>
  <r>
    <s v="L105"/>
    <s v="C159"/>
    <x v="1"/>
    <n v="1164597"/>
    <n v="13.24"/>
    <n v="20"/>
    <n v="20923.890898028505"/>
    <n v="3324387.7858787687"/>
    <n v="2159790.7858787687"/>
    <x v="0"/>
  </r>
  <r>
    <s v="L106"/>
    <s v="C110"/>
    <x v="1"/>
    <n v="1492328"/>
    <n v="13.28"/>
    <n v="8"/>
    <n v="15232.01836616406"/>
    <n v="2427374.4468319044"/>
    <n v="935046.44683190435"/>
    <x v="0"/>
  </r>
  <r>
    <s v="L107"/>
    <s v="C142"/>
    <x v="0"/>
    <n v="93778"/>
    <n v="8.8000000000000007"/>
    <n v="9"/>
    <n v="1288.8168023401377"/>
    <n v="136099.05432711856"/>
    <n v="42321.05432711856"/>
    <x v="0"/>
  </r>
  <r>
    <s v="L108"/>
    <s v="C166"/>
    <x v="2"/>
    <n v="844560"/>
    <n v="13.44"/>
    <n v="14"/>
    <n v="11647.007914503916"/>
    <n v="1878429.4364511915"/>
    <n v="1033869.4364511915"/>
    <x v="0"/>
  </r>
  <r>
    <s v="L109"/>
    <s v="C197"/>
    <x v="0"/>
    <n v="367900"/>
    <n v="7.77"/>
    <n v="12"/>
    <n v="6085.3671865424822"/>
    <n v="567399.63647322101"/>
    <n v="199499.63647322101"/>
    <x v="0"/>
  </r>
  <r>
    <s v="L110"/>
    <s v="C172"/>
    <x v="1"/>
    <n v="125484"/>
    <n v="14.07"/>
    <n v="2"/>
    <n v="853.29548704270837"/>
    <n v="144070.41003229091"/>
    <n v="18586.410032290907"/>
    <x v="0"/>
  </r>
  <r>
    <s v="L111"/>
    <s v="C132"/>
    <x v="1"/>
    <n v="61041"/>
    <n v="9.93"/>
    <n v="9"/>
    <n v="776.61065809976458"/>
    <n v="92540.92601916795"/>
    <n v="31499.92601916795"/>
    <x v="0"/>
  </r>
  <r>
    <s v="L112"/>
    <s v="C104"/>
    <x v="1"/>
    <n v="980474"/>
    <n v="10.42"/>
    <n v="17"/>
    <n v="16779.92347921239"/>
    <n v="2098161.631840717"/>
    <n v="1117687.631840717"/>
    <x v="0"/>
  </r>
  <r>
    <s v="L113"/>
    <s v="C129"/>
    <x v="1"/>
    <n v="1968308"/>
    <n v="8.44"/>
    <n v="15"/>
    <n v="34371.486385837925"/>
    <n v="3481144.1411576648"/>
    <n v="1512836.1411576648"/>
    <x v="0"/>
  </r>
  <r>
    <s v="L114"/>
    <s v="C197"/>
    <x v="1"/>
    <n v="592250"/>
    <n v="12.18"/>
    <n v="3"/>
    <n v="4842.3708364156846"/>
    <n v="707760.92145051644"/>
    <n v="115510.92145051644"/>
    <x v="0"/>
  </r>
  <r>
    <s v="L115"/>
    <s v="C165"/>
    <x v="3"/>
    <n v="83144"/>
    <n v="11.32"/>
    <n v="19"/>
    <n v="1493.1942113967357"/>
    <n v="202835.50167613255"/>
    <n v="119691.50167613255"/>
    <x v="0"/>
  </r>
  <r>
    <s v="L116"/>
    <s v="C165"/>
    <x v="3"/>
    <n v="386017"/>
    <n v="14.33"/>
    <n v="14"/>
    <n v="5212.8419502350844"/>
    <n v="896400.30176242511"/>
    <n v="510383.30176242511"/>
    <x v="0"/>
  </r>
  <r>
    <s v="L117"/>
    <s v="C139"/>
    <x v="3"/>
    <n v="1356798"/>
    <n v="11.99"/>
    <n v="1"/>
    <n v="10010.617691955686"/>
    <n v="1440327.6735185841"/>
    <n v="83529.67351858411"/>
    <x v="0"/>
  </r>
  <r>
    <s v="L118"/>
    <s v="C107"/>
    <x v="1"/>
    <n v="74095"/>
    <n v="8.9700000000000006"/>
    <n v="15"/>
    <n v="1256.0013342704635"/>
    <n v="135195.98362087272"/>
    <n v="61100.983620872721"/>
    <x v="0"/>
  </r>
  <r>
    <s v="L119"/>
    <s v="C186"/>
    <x v="2"/>
    <n v="1509086"/>
    <n v="14.37"/>
    <n v="11"/>
    <n v="17451.256346578633"/>
    <n v="3009294.6444040192"/>
    <n v="1500208.6444040192"/>
    <x v="0"/>
  </r>
  <r>
    <s v="L120"/>
    <s v="C112"/>
    <x v="0"/>
    <n v="1692282"/>
    <n v="7.73"/>
    <n v="9"/>
    <n v="25385.323727946528"/>
    <n v="2354742.6290043201"/>
    <n v="662460.62900432013"/>
    <x v="0"/>
  </r>
  <r>
    <s v="L121"/>
    <s v="C170"/>
    <x v="0"/>
    <n v="1664099"/>
    <n v="8.66"/>
    <n v="14"/>
    <n v="27718.252598583262"/>
    <n v="2880480.8100447729"/>
    <n v="1216381.8100447729"/>
    <x v="0"/>
  </r>
  <r>
    <s v="L122"/>
    <s v="C150"/>
    <x v="2"/>
    <n v="852744"/>
    <n v="12.6"/>
    <n v="15"/>
    <n v="12582.571445689238"/>
    <n v="1902484.8025882128"/>
    <n v="1049740.8025882128"/>
    <x v="0"/>
  </r>
  <r>
    <s v="L123"/>
    <s v="C183"/>
    <x v="0"/>
    <n v="1219770"/>
    <n v="14.75"/>
    <n v="11"/>
    <n v="13956.800814959202"/>
    <n v="2470353.7442477788"/>
    <n v="1250583.7442477788"/>
    <x v="0"/>
  </r>
  <r>
    <s v="L124"/>
    <s v="C102"/>
    <x v="1"/>
    <n v="608405"/>
    <n v="13.2"/>
    <n v="20"/>
    <n v="10937.78713577587"/>
    <n v="1732545.4823068979"/>
    <n v="1124140.4823068979"/>
    <x v="1"/>
  </r>
  <r>
    <s v="L125"/>
    <s v="C162"/>
    <x v="1"/>
    <n v="286364"/>
    <n v="12.15"/>
    <n v="20"/>
    <n v="5243.7119480946694"/>
    <n v="764533.20203220285"/>
    <n v="478169.20203220285"/>
    <x v="0"/>
  </r>
  <r>
    <s v="L126"/>
    <s v="C193"/>
    <x v="3"/>
    <n v="1667602"/>
    <n v="13.43"/>
    <n v="3"/>
    <n v="12584.34849215583"/>
    <n v="2028093.6029958334"/>
    <n v="360491.60299583338"/>
    <x v="0"/>
  </r>
  <r>
    <s v="L127"/>
    <s v="C120"/>
    <x v="1"/>
    <n v="1984155"/>
    <n v="7.39"/>
    <n v="17"/>
    <n v="39435.894160808471"/>
    <n v="3497175.0941804955"/>
    <n v="1513020.0941804955"/>
    <x v="0"/>
  </r>
  <r>
    <s v="L128"/>
    <s v="C109"/>
    <x v="0"/>
    <n v="1006542"/>
    <n v="8.33"/>
    <n v="14"/>
    <n v="17109.55047617665"/>
    <n v="1710270.6655986179"/>
    <n v="703728.66559861787"/>
    <x v="1"/>
  </r>
  <r>
    <s v="L129"/>
    <s v="C167"/>
    <x v="2"/>
    <n v="422917"/>
    <n v="8.2100000000000009"/>
    <n v="18"/>
    <n v="8245.6720713264804"/>
    <n v="812363.61246708501"/>
    <n v="389446.61246708501"/>
    <x v="0"/>
  </r>
  <r>
    <s v="L130"/>
    <s v="C161"/>
    <x v="0"/>
    <n v="983035"/>
    <n v="11.57"/>
    <n v="10"/>
    <n v="11975.481158477047"/>
    <n v="1662675.8040429531"/>
    <n v="679640.80404295307"/>
    <x v="1"/>
  </r>
  <r>
    <s v="L131"/>
    <s v="C128"/>
    <x v="1"/>
    <n v="468303"/>
    <n v="14.93"/>
    <n v="19"/>
    <n v="7887.5458712682739"/>
    <n v="1413132.718296424"/>
    <n v="944829.71829642402"/>
    <x v="0"/>
  </r>
  <r>
    <s v="L132"/>
    <s v="C116"/>
    <x v="2"/>
    <n v="1110641"/>
    <n v="8.85"/>
    <n v="9"/>
    <n v="15207.218092995405"/>
    <n v="1615006.5614761119"/>
    <n v="504365.56147611188"/>
    <x v="1"/>
  </r>
  <r>
    <s v="L133"/>
    <s v="C109"/>
    <x v="1"/>
    <n v="1657787"/>
    <n v="11.42"/>
    <n v="1"/>
    <n v="12806.026222500961"/>
    <n v="1754937.8335315317"/>
    <n v="97150.833531531738"/>
    <x v="0"/>
  </r>
  <r>
    <s v="L134"/>
    <s v="C136"/>
    <x v="3"/>
    <n v="1874417"/>
    <n v="7.35"/>
    <n v="15"/>
    <n v="35197.241167415312"/>
    <n v="3104396.6709660306"/>
    <n v="1229979.6709660306"/>
    <x v="0"/>
  </r>
  <r>
    <s v="L135"/>
    <s v="C129"/>
    <x v="3"/>
    <n v="791009"/>
    <n v="12.46"/>
    <n v="8"/>
    <n v="8374.2060604583894"/>
    <n v="1252111.2901597384"/>
    <n v="461102.29015973839"/>
    <x v="0"/>
  </r>
  <r>
    <s v="L136"/>
    <s v="C197"/>
    <x v="0"/>
    <n v="1355813"/>
    <n v="9.4700000000000006"/>
    <n v="20"/>
    <n v="26673.563969311635"/>
    <n v="3031183.8094725744"/>
    <n v="1675370.8094725744"/>
    <x v="0"/>
  </r>
  <r>
    <s v="L137"/>
    <s v="C186"/>
    <x v="2"/>
    <n v="1835497"/>
    <n v="9.36"/>
    <n v="17"/>
    <n v="32747.893104465045"/>
    <n v="3678243.3534935135"/>
    <n v="1842746.3534935135"/>
    <x v="1"/>
  </r>
  <r>
    <s v="L138"/>
    <s v="C140"/>
    <x v="0"/>
    <n v="1744071"/>
    <n v="8.82"/>
    <n v="2"/>
    <n v="17988.165764326266"/>
    <n v="1903867.4644962922"/>
    <n v="159796.46449629217"/>
    <x v="1"/>
  </r>
  <r>
    <s v="L139"/>
    <s v="C120"/>
    <x v="2"/>
    <n v="1307194"/>
    <n v="11.69"/>
    <n v="2"/>
    <n v="10457.928273372967"/>
    <n v="1467038.1781887596"/>
    <n v="159844.1781887596"/>
    <x v="0"/>
  </r>
  <r>
    <s v="L140"/>
    <s v="C112"/>
    <x v="1"/>
    <n v="1742833"/>
    <n v="13.79"/>
    <n v="17"/>
    <n v="27357.646553885625"/>
    <n v="4527143.3517369926"/>
    <n v="2784310.3517369926"/>
    <x v="1"/>
  </r>
  <r>
    <s v="L141"/>
    <s v="C152"/>
    <x v="2"/>
    <n v="1657429"/>
    <n v="8.4700000000000006"/>
    <n v="19"/>
    <n v="32908.811534963272"/>
    <n v="3344851.6044136677"/>
    <n v="1687422.6044136677"/>
    <x v="0"/>
  </r>
  <r>
    <s v="L142"/>
    <s v="C200"/>
    <x v="3"/>
    <n v="1015690"/>
    <n v="11.34"/>
    <n v="14"/>
    <n v="14929.769564560582"/>
    <n v="2031643.0423454039"/>
    <n v="1015953.0423454039"/>
    <x v="0"/>
  </r>
  <r>
    <s v="L143"/>
    <s v="C188"/>
    <x v="1"/>
    <n v="935247"/>
    <n v="8.75"/>
    <n v="10"/>
    <n v="13399.941253238216"/>
    <n v="1406993.8315900126"/>
    <n v="471746.83159001265"/>
    <x v="0"/>
  </r>
  <r>
    <s v="L144"/>
    <s v="C192"/>
    <x v="3"/>
    <n v="654087"/>
    <n v="7.12"/>
    <n v="15"/>
    <n v="12501.242187856795"/>
    <n v="1068106.1325304846"/>
    <n v="414019.13253048458"/>
    <x v="0"/>
  </r>
  <r>
    <s v="L145"/>
    <s v="C108"/>
    <x v="0"/>
    <n v="1174038"/>
    <n v="8.25"/>
    <n v="20"/>
    <n v="24297.529875508495"/>
    <n v="2405455.4576753411"/>
    <n v="1231417.4576753411"/>
    <x v="0"/>
  </r>
  <r>
    <s v="L146"/>
    <s v="C101"/>
    <x v="2"/>
    <n v="1075375"/>
    <n v="12.48"/>
    <n v="11"/>
    <n v="13231.436832321062"/>
    <n v="1981539.9800084021"/>
    <n v="906164.98000840214"/>
    <x v="1"/>
  </r>
  <r>
    <s v="L147"/>
    <s v="C170"/>
    <x v="1"/>
    <n v="121168"/>
    <n v="12.65"/>
    <n v="3"/>
    <n v="960.21057295171715"/>
    <n v="145759.96497407067"/>
    <n v="24591.964974070666"/>
    <x v="0"/>
  </r>
  <r>
    <s v="L148"/>
    <s v="C157"/>
    <x v="2"/>
    <n v="189255"/>
    <n v="9.9600000000000009"/>
    <n v="14"/>
    <n v="2943.9329544270599"/>
    <n v="351858.86671312223"/>
    <n v="162603.86671312223"/>
    <x v="0"/>
  </r>
  <r>
    <s v="L149"/>
    <s v="C197"/>
    <x v="0"/>
    <n v="526236"/>
    <n v="14.24"/>
    <n v="3"/>
    <n v="3787.8427068755823"/>
    <n v="647266.56175089953"/>
    <n v="121030.56175089953"/>
    <x v="0"/>
  </r>
  <r>
    <s v="L150"/>
    <s v="C100"/>
    <x v="3"/>
    <n v="1277918"/>
    <n v="7.51"/>
    <n v="4"/>
    <n v="16439.964428035099"/>
    <n v="1481569.5942545231"/>
    <n v="203651.59425452305"/>
    <x v="0"/>
  </r>
  <r>
    <s v="L151"/>
    <s v="C189"/>
    <x v="2"/>
    <n v="661187"/>
    <n v="10.75"/>
    <n v="5"/>
    <n v="6636.1800028711596"/>
    <n v="856067.22037037951"/>
    <n v="194880.22037037951"/>
    <x v="1"/>
  </r>
  <r>
    <s v="L152"/>
    <s v="C128"/>
    <x v="0"/>
    <n v="106407"/>
    <n v="8.2200000000000006"/>
    <n v="4"/>
    <n v="1267.5677453529925"/>
    <n v="125032.88240161919"/>
    <n v="18625.882401619194"/>
    <x v="0"/>
  </r>
  <r>
    <s v="L153"/>
    <s v="C178"/>
    <x v="0"/>
    <n v="1314440"/>
    <n v="10.85"/>
    <n v="14"/>
    <n v="19682.232912943251"/>
    <n v="2562626.725265211"/>
    <n v="1248186.725265211"/>
    <x v="0"/>
  </r>
  <r>
    <s v="L154"/>
    <s v="C191"/>
    <x v="2"/>
    <n v="727108"/>
    <n v="9.36"/>
    <n v="11"/>
    <n v="10395.28533547999"/>
    <n v="1167598.4488811123"/>
    <n v="440490.44888111227"/>
    <x v="0"/>
  </r>
  <r>
    <s v="L155"/>
    <s v="C183"/>
    <x v="0"/>
    <n v="1312632"/>
    <n v="9.7100000000000009"/>
    <n v="2"/>
    <n v="12403.891603274416"/>
    <n v="1445301.4496135351"/>
    <n v="132669.44961353508"/>
    <x v="0"/>
  </r>
  <r>
    <s v="L156"/>
    <s v="C133"/>
    <x v="2"/>
    <n v="838328"/>
    <n v="9.64"/>
    <n v="12"/>
    <n v="12261.691240830827"/>
    <n v="1418432.4427393102"/>
    <n v="580104.44273931021"/>
    <x v="0"/>
  </r>
  <r>
    <s v="L157"/>
    <s v="C108"/>
    <x v="0"/>
    <n v="1056177"/>
    <n v="7.43"/>
    <n v="6"/>
    <n v="14710.947998389569"/>
    <n v="1311628.123536414"/>
    <n v="255451.123536414"/>
    <x v="0"/>
  </r>
  <r>
    <s v="L158"/>
    <s v="C169"/>
    <x v="0"/>
    <n v="1782786"/>
    <n v="9.06"/>
    <n v="7"/>
    <n v="22189.934880816247"/>
    <n v="2412489.7202423424"/>
    <n v="629703.72024234245"/>
    <x v="0"/>
  </r>
  <r>
    <s v="L159"/>
    <s v="C116"/>
    <x v="0"/>
    <n v="607709"/>
    <n v="13.89"/>
    <n v="2"/>
    <n v="4178.8218413179393"/>
    <n v="696526.02451087418"/>
    <n v="88817.02451087418"/>
    <x v="0"/>
  </r>
  <r>
    <s v="L160"/>
    <s v="C157"/>
    <x v="2"/>
    <n v="254473"/>
    <n v="11.61"/>
    <n v="20"/>
    <n v="4712.3178149784517"/>
    <n v="656520.11798279779"/>
    <n v="402047.11798279779"/>
    <x v="0"/>
  </r>
  <r>
    <s v="L161"/>
    <s v="C145"/>
    <x v="3"/>
    <n v="753651"/>
    <n v="7.11"/>
    <n v="9"/>
    <n v="11990.776488558342"/>
    <n v="1023053.0500037977"/>
    <n v="269402.05000379775"/>
    <x v="0"/>
  </r>
  <r>
    <s v="L162"/>
    <s v="C112"/>
    <x v="0"/>
    <n v="1145241"/>
    <n v="14.09"/>
    <n v="6"/>
    <n v="10051.105313480188"/>
    <n v="1699440.8864032303"/>
    <n v="554199.88640323025"/>
    <x v="0"/>
  </r>
  <r>
    <s v="L163"/>
    <s v="C160"/>
    <x v="3"/>
    <n v="523436"/>
    <n v="7.42"/>
    <n v="7"/>
    <n v="7553.6701003473327"/>
    <n v="672578.78573492658"/>
    <n v="149142.78573492658"/>
    <x v="0"/>
  </r>
  <r>
    <s v="L164"/>
    <s v="C171"/>
    <x v="3"/>
    <n v="476897"/>
    <n v="11.61"/>
    <n v="17"/>
    <n v="7863.903762254894"/>
    <n v="1095599.0721573518"/>
    <n v="618702.07215735177"/>
    <x v="1"/>
  </r>
  <r>
    <s v="L165"/>
    <s v="C144"/>
    <x v="3"/>
    <n v="1783789"/>
    <n v="11.65"/>
    <n v="4"/>
    <n v="15983.50412680175"/>
    <n v="2234493.876926885"/>
    <n v="450704.87692688499"/>
    <x v="0"/>
  </r>
  <r>
    <s v="L166"/>
    <s v="C124"/>
    <x v="1"/>
    <n v="908320"/>
    <n v="14.07"/>
    <n v="6"/>
    <n v="7979.0073069278305"/>
    <n v="1347175.5937016949"/>
    <n v="438855.59370169486"/>
    <x v="0"/>
  </r>
  <r>
    <s v="L167"/>
    <s v="C127"/>
    <x v="3"/>
    <n v="1587179"/>
    <n v="11.06"/>
    <n v="17"/>
    <n v="26596.471020356534"/>
    <n v="3529883.6338217193"/>
    <n v="1942704.6338217193"/>
    <x v="0"/>
  </r>
  <r>
    <s v="L168"/>
    <s v="C124"/>
    <x v="0"/>
    <n v="847465"/>
    <n v="7.65"/>
    <n v="11"/>
    <n v="13694.148549669519"/>
    <n v="1257122.8368596619"/>
    <n v="409657.83685966185"/>
    <x v="1"/>
  </r>
  <r>
    <s v="L169"/>
    <s v="C146"/>
    <x v="0"/>
    <n v="536416"/>
    <n v="8.0299999999999994"/>
    <n v="5"/>
    <n v="6770.3413132700489"/>
    <n v="652390.08894670184"/>
    <n v="115974.08894670184"/>
    <x v="0"/>
  </r>
  <r>
    <s v="L170"/>
    <s v="C174"/>
    <x v="2"/>
    <n v="57757"/>
    <n v="9.4600000000000009"/>
    <n v="16"/>
    <n v="990.25562851617917"/>
    <n v="112413.81894915667"/>
    <n v="54656.818949156674"/>
    <x v="0"/>
  </r>
  <r>
    <s v="L171"/>
    <s v="C140"/>
    <x v="2"/>
    <n v="955497"/>
    <n v="8.58"/>
    <n v="2"/>
    <n v="10106.995389655265"/>
    <n v="1040616.2453189061"/>
    <n v="85119.245318906149"/>
    <x v="0"/>
  </r>
  <r>
    <s v="L172"/>
    <s v="C175"/>
    <x v="3"/>
    <n v="524293"/>
    <n v="10.77"/>
    <n v="4"/>
    <n v="4999.7623567023666"/>
    <n v="646169.28698021383"/>
    <n v="121876.28698021383"/>
    <x v="0"/>
  </r>
  <r>
    <s v="L173"/>
    <s v="C128"/>
    <x v="2"/>
    <n v="1133669"/>
    <n v="9.19"/>
    <n v="14"/>
    <n v="18325.679912702006"/>
    <n v="2020955.980772777"/>
    <n v="887286.98077277699"/>
    <x v="0"/>
  </r>
  <r>
    <s v="L174"/>
    <s v="C157"/>
    <x v="0"/>
    <n v="819891"/>
    <n v="14.96"/>
    <n v="3"/>
    <n v="5674.0082731655857"/>
    <n v="1018597.9651986859"/>
    <n v="198706.96519868588"/>
    <x v="0"/>
  </r>
  <r>
    <s v="L175"/>
    <s v="C169"/>
    <x v="0"/>
    <n v="619521"/>
    <n v="14"/>
    <n v="10"/>
    <n v="6865.5483708128822"/>
    <n v="1153412.1262965642"/>
    <n v="533891.12629656424"/>
    <x v="0"/>
  </r>
  <r>
    <s v="L176"/>
    <s v="C137"/>
    <x v="1"/>
    <n v="593101"/>
    <n v="10.74"/>
    <n v="9"/>
    <n v="7194.8996118033438"/>
    <n v="927278.66196921491"/>
    <n v="334177.66196921491"/>
    <x v="0"/>
  </r>
  <r>
    <s v="L177"/>
    <s v="C148"/>
    <x v="3"/>
    <n v="1626201"/>
    <n v="9.3800000000000008"/>
    <n v="5"/>
    <n v="18128.723714381053"/>
    <n v="2040569.1412907315"/>
    <n v="414368.1412907315"/>
    <x v="0"/>
  </r>
  <r>
    <s v="L178"/>
    <s v="C151"/>
    <x v="2"/>
    <n v="776625"/>
    <n v="10.3"/>
    <n v="8"/>
    <n v="9243.4666560066689"/>
    <n v="1142492.4786824244"/>
    <n v="365867.47868242441"/>
    <x v="0"/>
  </r>
  <r>
    <s v="L179"/>
    <s v="C109"/>
    <x v="1"/>
    <n v="1008426"/>
    <n v="13.61"/>
    <n v="12"/>
    <n v="12556.579430403264"/>
    <n v="2050740.5525734611"/>
    <n v="1042314.5525734611"/>
    <x v="0"/>
  </r>
  <r>
    <s v="L180"/>
    <s v="C104"/>
    <x v="0"/>
    <n v="591785"/>
    <n v="10.88"/>
    <n v="12"/>
    <n v="8137.5558118570052"/>
    <n v="1062439.2867960506"/>
    <n v="470654.28679605061"/>
    <x v="0"/>
  </r>
  <r>
    <s v="L181"/>
    <s v="C131"/>
    <x v="1"/>
    <n v="600649"/>
    <n v="8.9600000000000009"/>
    <n v="16"/>
    <n v="10547.674465285532"/>
    <n v="1134085.9585075006"/>
    <n v="533436.95850750059"/>
    <x v="0"/>
  </r>
  <r>
    <s v="L182"/>
    <s v="C184"/>
    <x v="0"/>
    <n v="906329"/>
    <n v="8.8699999999999992"/>
    <n v="5"/>
    <n v="10559.666988168439"/>
    <n v="1123970.9542206484"/>
    <n v="217641.95422064839"/>
    <x v="1"/>
  </r>
  <r>
    <s v="L183"/>
    <s v="C198"/>
    <x v="3"/>
    <n v="1893786"/>
    <n v="11.96"/>
    <n v="8"/>
    <n v="20540.258345128306"/>
    <n v="2947937.8776928149"/>
    <n v="1054151.8776928149"/>
    <x v="0"/>
  </r>
  <r>
    <s v="L184"/>
    <s v="C122"/>
    <x v="1"/>
    <n v="430037"/>
    <n v="11.47"/>
    <n v="10"/>
    <n v="5263.1041106133125"/>
    <n v="724413.64978481643"/>
    <n v="294376.64978481643"/>
    <x v="0"/>
  </r>
  <r>
    <s v="L185"/>
    <s v="C125"/>
    <x v="0"/>
    <n v="605250"/>
    <n v="9.4700000000000006"/>
    <n v="15"/>
    <n v="10003.864607076554"/>
    <n v="1136839.1739481795"/>
    <n v="531589.17394817946"/>
    <x v="0"/>
  </r>
  <r>
    <s v="L186"/>
    <s v="C150"/>
    <x v="2"/>
    <n v="792362"/>
    <n v="13.56"/>
    <n v="15"/>
    <n v="11416.936604283772"/>
    <n v="1857763.9242490553"/>
    <n v="1065401.9242490553"/>
    <x v="1"/>
  </r>
  <r>
    <s v="L187"/>
    <s v="C183"/>
    <x v="1"/>
    <n v="84724"/>
    <n v="14.81"/>
    <n v="9"/>
    <n v="864.56146579871904"/>
    <n v="153649.86370174837"/>
    <n v="68925.863701748371"/>
    <x v="1"/>
  </r>
  <r>
    <s v="L188"/>
    <s v="C125"/>
    <x v="3"/>
    <n v="1606185"/>
    <n v="7.17"/>
    <n v="4"/>
    <n v="21503.530323717889"/>
    <n v="1850163.7490526871"/>
    <n v="243978.74905268708"/>
    <x v="0"/>
  </r>
  <r>
    <s v="L189"/>
    <s v="C194"/>
    <x v="1"/>
    <n v="1536097"/>
    <n v="14.55"/>
    <n v="6"/>
    <n v="13210.468536426213"/>
    <n v="2306547.8064600173"/>
    <n v="770450.80646001734"/>
    <x v="0"/>
  </r>
  <r>
    <s v="L190"/>
    <s v="C147"/>
    <x v="0"/>
    <n v="1972094"/>
    <n v="10.09"/>
    <n v="11"/>
    <n v="27032.327803411536"/>
    <n v="3273074.2504370688"/>
    <n v="1300980.2504370688"/>
    <x v="1"/>
  </r>
  <r>
    <s v="L191"/>
    <s v="C163"/>
    <x v="1"/>
    <n v="769272"/>
    <n v="13.76"/>
    <n v="1"/>
    <n v="4988.6826483412951"/>
    <n v="823731.27889411477"/>
    <n v="54459.278894114774"/>
    <x v="0"/>
  </r>
  <r>
    <s v="L192"/>
    <s v="C121"/>
    <x v="2"/>
    <n v="1642249"/>
    <n v="11.1"/>
    <n v="3"/>
    <n v="14510.992653262481"/>
    <n v="1932864.2214145625"/>
    <n v="290615.22141456255"/>
    <x v="0"/>
  </r>
  <r>
    <s v="L193"/>
    <s v="C139"/>
    <x v="2"/>
    <n v="1485147"/>
    <n v="12.46"/>
    <n v="12"/>
    <n v="19184.847749291468"/>
    <n v="2868518.4354740605"/>
    <n v="1383371.4354740605"/>
    <x v="0"/>
  </r>
  <r>
    <s v="L194"/>
    <s v="C150"/>
    <x v="3"/>
    <n v="1785336"/>
    <n v="9.85"/>
    <n v="13"/>
    <n v="26855.929228102374"/>
    <n v="3174370.8347617001"/>
    <n v="1389034.8347617001"/>
    <x v="0"/>
  </r>
  <r>
    <s v="L195"/>
    <s v="C147"/>
    <x v="0"/>
    <n v="1378453"/>
    <n v="7.66"/>
    <n v="5"/>
    <n v="18081.712960151333"/>
    <n v="1662071.0552971107"/>
    <n v="283618.0552971107"/>
    <x v="0"/>
  </r>
  <r>
    <s v="L196"/>
    <s v="C175"/>
    <x v="1"/>
    <n v="252324"/>
    <n v="9.16"/>
    <n v="9"/>
    <n v="3378.4281089806473"/>
    <n v="371356.81773915276"/>
    <n v="119032.81773915276"/>
    <x v="0"/>
  </r>
  <r>
    <s v="L197"/>
    <s v="C127"/>
    <x v="1"/>
    <n v="84342"/>
    <n v="7.64"/>
    <n v="3"/>
    <n v="1030.5565015203031"/>
    <n v="94481.420059381373"/>
    <n v="10139.420059381373"/>
    <x v="0"/>
  </r>
  <r>
    <s v="L198"/>
    <s v="C178"/>
    <x v="3"/>
    <n v="1589276"/>
    <n v="13.89"/>
    <n v="10"/>
    <n v="17676.6203429784"/>
    <n v="2946339.0787676396"/>
    <n v="1357063.0787676396"/>
    <x v="0"/>
  </r>
  <r>
    <s v="L199"/>
    <s v="C134"/>
    <x v="0"/>
    <n v="1197134"/>
    <n v="13.36"/>
    <n v="3"/>
    <n v="9072.4710815478575"/>
    <n v="1454498.5637937523"/>
    <n v="257364.56379375234"/>
    <x v="0"/>
  </r>
  <r>
    <s v="L200"/>
    <s v="C191"/>
    <x v="1"/>
    <n v="1983998"/>
    <n v="13.11"/>
    <n v="12"/>
    <n v="25082.380987718014"/>
    <n v="3945960.176987798"/>
    <n v="1961962.1769877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0F0032-85CB-43C8-A1BF-C510D927FA0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25" firstHeaderRow="0" firstDataRow="1" firstDataCol="1"/>
  <pivotFields count="10">
    <pivotField showAll="0"/>
    <pivotField showAll="0"/>
    <pivotField axis="axisRow" showAll="0">
      <items count="5">
        <item x="2"/>
        <item x="0"/>
        <item x="3"/>
        <item x="1"/>
        <item t="default"/>
      </items>
    </pivotField>
    <pivotField dataField="1" showAll="0"/>
    <pivotField showAll="0"/>
    <pivotField dataField="1" showAll="0"/>
    <pivotField numFmtId="4" showAll="0"/>
    <pivotField numFmtId="4" showAll="0"/>
    <pivotField numFmtId="4" showAll="0"/>
    <pivotField showAll="0"/>
  </pivotFields>
  <rowFields count="1">
    <field x="2"/>
  </rowFields>
  <rowItems count="5">
    <i>
      <x/>
    </i>
    <i>
      <x v="1"/>
    </i>
    <i>
      <x v="2"/>
    </i>
    <i>
      <x v="3"/>
    </i>
    <i t="grand">
      <x/>
    </i>
  </rowItems>
  <colFields count="1">
    <field x="-2"/>
  </colFields>
  <colItems count="2">
    <i>
      <x/>
    </i>
    <i i="1">
      <x v="1"/>
    </i>
  </colItems>
  <dataFields count="2">
    <dataField name="Sum of Tenure (Years)" fld="5" baseField="0" baseItem="0"/>
    <dataField name="Avg Loan"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8B7BBF-322A-46C7-B7F2-C0239F70B14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0">
    <pivotField showAll="0"/>
    <pivotField showAll="0"/>
    <pivotField axis="axisRow" showAll="0">
      <items count="5">
        <item x="2"/>
        <item x="0"/>
        <item x="3"/>
        <item x="1"/>
        <item t="default"/>
      </items>
    </pivotField>
    <pivotField dataField="1" showAll="0"/>
    <pivotField showAll="0"/>
    <pivotField showAll="0"/>
    <pivotField numFmtId="4" showAll="0"/>
    <pivotField numFmtId="4" showAll="0"/>
    <pivotField numFmtId="4" showAll="0"/>
    <pivotField dataField="1" showAll="0">
      <items count="3">
        <item x="0"/>
        <item x="1"/>
        <item t="default"/>
      </items>
    </pivotField>
  </pivotFields>
  <rowFields count="1">
    <field x="2"/>
  </rowFields>
  <rowItems count="5">
    <i>
      <x/>
    </i>
    <i>
      <x v="1"/>
    </i>
    <i>
      <x v="2"/>
    </i>
    <i>
      <x v="3"/>
    </i>
    <i t="grand">
      <x/>
    </i>
  </rowItems>
  <colFields count="1">
    <field x="-2"/>
  </colFields>
  <colItems count="3">
    <i>
      <x/>
    </i>
    <i i="1">
      <x v="1"/>
    </i>
    <i i="2">
      <x v="2"/>
    </i>
  </colItems>
  <dataFields count="3">
    <dataField name="No. of Loans" fld="3" subtotal="count" baseField="2" baseItem="0"/>
    <dataField name=" Total Amount" fld="3" baseField="2" baseItem="0"/>
    <dataField name="Average of Default_Flag" fld="9" subtotal="average" baseField="2" baseItem="0" numFmtId="9"/>
  </dataFields>
  <formats count="2">
    <format dxfId="6">
      <pivotArea outline="0" collapsedLevelsAreSubtotals="1" fieldPosition="0">
        <references count="1">
          <reference field="4294967294" count="1" selected="0">
            <x v="2"/>
          </reference>
        </references>
      </pivotArea>
    </format>
    <format dxfId="7">
      <pivotArea dataOnly="0" labelOnly="1" outline="0" fieldPosition="0">
        <references count="1">
          <reference field="4294967294" count="1">
            <x v="2"/>
          </reference>
        </references>
      </pivotArea>
    </format>
  </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34244BA9-A453-42C8-B298-469083B1C7B6}" sourceName="Loan_Type">
  <pivotTables>
    <pivotTable tabId="4" name="PivotTable1"/>
  </pivotTables>
  <data>
    <tabular pivotCacheId="203135340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ault_Flag" xr10:uid="{9FBFBBB3-7416-40EF-A505-DCA29B1E929D}" sourceName="Default_Flag">
  <pivotTables>
    <pivotTable tabId="4" name="PivotTable1"/>
  </pivotTables>
  <data>
    <tabular pivotCacheId="203135340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E6A921AB-311A-4ECB-A36B-EA863A8AECAD}" cache="Slicer_Loan_Type" caption="Loan_Type" rowHeight="234950"/>
  <slicer name="Default_Flag" xr10:uid="{54DF9FA5-DE97-4FD7-AFAF-3AAF734BDE89}" cache="Slicer_Default_Flag" caption="Default_Fla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BDB77A-EA61-481F-A972-C87F883D11BB}" name="Table1" displayName="Table1" ref="A1:J201" totalsRowShown="0">
  <autoFilter ref="A1:J201" xr:uid="{73BDB77A-EA61-481F-A972-C87F883D11BB}"/>
  <tableColumns count="10">
    <tableColumn id="1" xr3:uid="{541175A8-64CA-4EBB-8359-BAE314923A7A}" name="Loan_ID"/>
    <tableColumn id="2" xr3:uid="{E1891B7D-F38E-4C75-87F8-D5839849A2BF}" name="Customer_ID="/>
    <tableColumn id="3" xr3:uid="{03E131B3-B5D4-446D-89D4-05AEA96EE8B3}" name="Loan_Type"/>
    <tableColumn id="4" xr3:uid="{DB5696C3-FFFB-4D5F-AC96-A3FD8E1C6372}" name="Loan_Amount"/>
    <tableColumn id="5" xr3:uid="{69FB6E2F-08C9-4F1E-9D54-1C8433CFC160}" name="Interest_Rate (%)"/>
    <tableColumn id="6" xr3:uid="{C7344D74-9830-4880-89B2-DCE71CECDAFB}" name="Tenure (Years)"/>
    <tableColumn id="7" xr3:uid="{0809545F-DDBF-4747-A10D-39EBBC3B6E57}" name="EMI" dataDxfId="10">
      <calculatedColumnFormula>PMT(F2/12/100, E2*12, -D2)</calculatedColumnFormula>
    </tableColumn>
    <tableColumn id="8" xr3:uid="{FB096997-FE69-47C3-A234-0A9B56106459}" name="Total_Payment" dataDxfId="9">
      <calculatedColumnFormula>G2*E2*12</calculatedColumnFormula>
    </tableColumn>
    <tableColumn id="9" xr3:uid="{317A4088-838A-497E-995C-807934E2F2CE}" name="Interest_Paid" dataDxfId="8">
      <calculatedColumnFormula>H2-D2</calculatedColumnFormula>
    </tableColumn>
    <tableColumn id="10" xr3:uid="{A3754912-DAE3-4AA7-940E-0566E79B5C5B}" name="Default_Fla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EE84-FE65-49E4-9B11-35DE422CEC3F}">
  <dimension ref="A1:S32"/>
  <sheetViews>
    <sheetView showGridLines="0" showRowColHeaders="0" tabSelected="1" zoomScale="75" zoomScaleNormal="75" workbookViewId="0">
      <selection activeCell="Q4" sqref="Q4:S7"/>
    </sheetView>
  </sheetViews>
  <sheetFormatPr defaultRowHeight="14.4"/>
  <cols>
    <col min="5" max="5" width="10" bestFit="1" customWidth="1"/>
  </cols>
  <sheetData>
    <row r="1" spans="1:19" ht="25.8">
      <c r="A1" s="26" t="s">
        <v>326</v>
      </c>
      <c r="B1" s="26"/>
      <c r="C1" s="26"/>
      <c r="D1" s="26"/>
      <c r="E1" s="26"/>
      <c r="F1" s="26"/>
      <c r="G1" s="26"/>
      <c r="H1" s="26"/>
      <c r="I1" s="26"/>
      <c r="J1" s="26"/>
      <c r="K1" s="26"/>
      <c r="L1" s="26"/>
      <c r="M1" s="26"/>
      <c r="N1" s="26"/>
      <c r="O1" s="26"/>
      <c r="P1" s="26"/>
      <c r="Q1" s="26"/>
      <c r="R1" s="26"/>
      <c r="S1" s="26"/>
    </row>
    <row r="4" spans="1:19" ht="18" customHeight="1">
      <c r="A4" s="17">
        <v>200</v>
      </c>
      <c r="B4" s="17"/>
      <c r="C4" s="17"/>
      <c r="D4" s="16"/>
      <c r="E4" s="18">
        <f>SUM('Raw data'!D2:D201)</f>
        <v>202908292</v>
      </c>
      <c r="F4" s="18"/>
      <c r="G4" s="18"/>
      <c r="I4" s="18">
        <f>AVERAGE('Raw data'!D2:D201)</f>
        <v>1014541.46</v>
      </c>
      <c r="J4" s="18"/>
      <c r="K4" s="18"/>
      <c r="M4" s="18">
        <f>AVERAGE('Raw data'!F2:F201)</f>
        <v>10.625</v>
      </c>
      <c r="N4" s="18"/>
      <c r="O4" s="18"/>
      <c r="Q4" s="18">
        <f>COUNTIF('Raw data'!J2:J201,1)/200</f>
        <v>0.19500000000000001</v>
      </c>
      <c r="R4" s="18"/>
      <c r="S4" s="18"/>
    </row>
    <row r="5" spans="1:19" ht="18" customHeight="1">
      <c r="A5" s="17"/>
      <c r="B5" s="17"/>
      <c r="C5" s="17"/>
      <c r="E5" s="18"/>
      <c r="F5" s="18"/>
      <c r="G5" s="18"/>
      <c r="I5" s="18"/>
      <c r="J5" s="18"/>
      <c r="K5" s="18"/>
      <c r="M5" s="18"/>
      <c r="N5" s="18"/>
      <c r="O5" s="18"/>
      <c r="Q5" s="18"/>
      <c r="R5" s="18"/>
      <c r="S5" s="18"/>
    </row>
    <row r="6" spans="1:19" ht="18" customHeight="1">
      <c r="A6" s="17"/>
      <c r="B6" s="17"/>
      <c r="C6" s="17"/>
      <c r="E6" s="18"/>
      <c r="F6" s="18"/>
      <c r="G6" s="18"/>
      <c r="I6" s="18"/>
      <c r="J6" s="18"/>
      <c r="K6" s="18"/>
      <c r="M6" s="18"/>
      <c r="N6" s="18"/>
      <c r="O6" s="18"/>
      <c r="Q6" s="18"/>
      <c r="R6" s="18"/>
      <c r="S6" s="18"/>
    </row>
    <row r="7" spans="1:19" ht="18" customHeight="1">
      <c r="A7" s="17"/>
      <c r="B7" s="17"/>
      <c r="C7" s="17"/>
      <c r="E7" s="18"/>
      <c r="F7" s="18"/>
      <c r="G7" s="18"/>
      <c r="I7" s="18"/>
      <c r="J7" s="18"/>
      <c r="K7" s="18"/>
      <c r="M7" s="18"/>
      <c r="N7" s="18"/>
      <c r="O7" s="18"/>
      <c r="Q7" s="18"/>
      <c r="R7" s="18"/>
      <c r="S7" s="18"/>
    </row>
    <row r="8" spans="1:19" ht="18" customHeight="1">
      <c r="A8" s="19" t="s">
        <v>320</v>
      </c>
      <c r="B8" s="20"/>
      <c r="C8" s="20"/>
      <c r="E8" s="19" t="s">
        <v>321</v>
      </c>
      <c r="F8" s="19"/>
      <c r="G8" s="19"/>
      <c r="I8" s="19" t="s">
        <v>322</v>
      </c>
      <c r="J8" s="19"/>
      <c r="K8" s="19"/>
      <c r="M8" s="22" t="s">
        <v>323</v>
      </c>
      <c r="N8" s="21"/>
      <c r="O8" s="21"/>
      <c r="Q8" s="22" t="s">
        <v>303</v>
      </c>
      <c r="R8" s="22"/>
      <c r="S8" s="22"/>
    </row>
    <row r="31" spans="11:12">
      <c r="K31" s="27" t="s">
        <v>327</v>
      </c>
      <c r="L31" s="27"/>
    </row>
    <row r="32" spans="11:12">
      <c r="K32" s="27"/>
      <c r="L32" s="27"/>
    </row>
  </sheetData>
  <mergeCells count="12">
    <mergeCell ref="A1:S1"/>
    <mergeCell ref="K31:L32"/>
    <mergeCell ref="I8:K8"/>
    <mergeCell ref="M4:O7"/>
    <mergeCell ref="M8:O8"/>
    <mergeCell ref="Q4:S7"/>
    <mergeCell ref="Q8:S8"/>
    <mergeCell ref="A8:C8"/>
    <mergeCell ref="E4:G7"/>
    <mergeCell ref="E8:G8"/>
    <mergeCell ref="A4:C7"/>
    <mergeCell ref="I4:K7"/>
  </mergeCells>
  <hyperlinks>
    <hyperlink ref="K31:L32" location="'Raw data'!A1" display="Raw data --&gt;" xr:uid="{EB422A52-4D65-4E71-BFC3-78F535A53E3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DFEC4-DA47-4B72-8A37-815FB13169CC}">
  <dimension ref="A1:N201"/>
  <sheetViews>
    <sheetView showGridLines="0" showRowColHeaders="0" workbookViewId="0">
      <pane ySplit="1" topLeftCell="A2" activePane="bottomLeft" state="frozen"/>
      <selection pane="bottomLeft" activeCell="M13" sqref="M13:M14"/>
    </sheetView>
  </sheetViews>
  <sheetFormatPr defaultRowHeight="14.4"/>
  <cols>
    <col min="1" max="1" width="10.109375" bestFit="1" customWidth="1"/>
    <col min="2" max="2" width="14.109375" bestFit="1" customWidth="1"/>
    <col min="3" max="3" width="12.44140625" bestFit="1" customWidth="1"/>
    <col min="4" max="4" width="15.33203125" bestFit="1" customWidth="1"/>
    <col min="5" max="5" width="17.77734375" bestFit="1" customWidth="1"/>
    <col min="6" max="6" width="15.44140625" bestFit="1" customWidth="1"/>
    <col min="7" max="7" width="12" bestFit="1" customWidth="1"/>
    <col min="8" max="8" width="16.109375" bestFit="1" customWidth="1"/>
    <col min="9" max="9" width="14.33203125" bestFit="1" customWidth="1"/>
    <col min="10" max="10" width="13.6640625" bestFit="1" customWidth="1"/>
    <col min="13" max="13" width="16" bestFit="1" customWidth="1"/>
    <col min="14" max="14" width="11.6640625" bestFit="1" customWidth="1"/>
  </cols>
  <sheetData>
    <row r="1" spans="1:14">
      <c r="A1" t="s">
        <v>0</v>
      </c>
      <c r="B1" t="s">
        <v>295</v>
      </c>
      <c r="C1" t="s">
        <v>1</v>
      </c>
      <c r="D1" t="s">
        <v>2</v>
      </c>
      <c r="E1" t="s">
        <v>3</v>
      </c>
      <c r="F1" t="s">
        <v>4</v>
      </c>
      <c r="G1" t="s">
        <v>5</v>
      </c>
      <c r="H1" t="s">
        <v>6</v>
      </c>
      <c r="I1" t="s">
        <v>7</v>
      </c>
      <c r="J1" t="s">
        <v>8</v>
      </c>
    </row>
    <row r="2" spans="1:14">
      <c r="A2" t="s">
        <v>9</v>
      </c>
      <c r="B2" t="s">
        <v>10</v>
      </c>
      <c r="C2" t="s">
        <v>11</v>
      </c>
      <c r="D2">
        <v>519737</v>
      </c>
      <c r="E2">
        <v>11.93</v>
      </c>
      <c r="F2">
        <v>14</v>
      </c>
      <c r="G2" s="2">
        <f>PMT(F2/12/100, E2*12, -D2)</f>
        <v>7486.2732135138376</v>
      </c>
      <c r="H2" s="2">
        <f t="shared" ref="H2:H65" si="0">G2*E2*12</f>
        <v>1071734.8732466409</v>
      </c>
      <c r="I2" s="2">
        <f>H2-D2</f>
        <v>551997.8732466409</v>
      </c>
      <c r="J2">
        <v>0</v>
      </c>
      <c r="M2" s="3" t="s">
        <v>294</v>
      </c>
      <c r="N2" s="4">
        <f>COUNTA(A2:A201)</f>
        <v>200</v>
      </c>
    </row>
    <row r="3" spans="1:14">
      <c r="A3" t="s">
        <v>12</v>
      </c>
      <c r="B3" t="s">
        <v>55</v>
      </c>
      <c r="C3" t="s">
        <v>14</v>
      </c>
      <c r="D3">
        <v>1137004</v>
      </c>
      <c r="E3">
        <v>11.14</v>
      </c>
      <c r="F3">
        <v>4</v>
      </c>
      <c r="G3" s="2">
        <f t="shared" ref="G3:G66" si="1">PMT(F3/12/100, E3*12, -D3)</f>
        <v>10554.630957112548</v>
      </c>
      <c r="H3" s="2">
        <f t="shared" ref="H3:H66" si="2">G3*E3*12</f>
        <v>1410943.0663468053</v>
      </c>
      <c r="I3" s="2">
        <f t="shared" ref="I3:I66" si="3">H3-D3</f>
        <v>273939.06634680531</v>
      </c>
      <c r="J3">
        <v>0</v>
      </c>
      <c r="M3" s="4" t="s">
        <v>301</v>
      </c>
      <c r="N3" s="3">
        <f>COUNTA(_xlfn.UNIQUE(C2:C201))</f>
        <v>4</v>
      </c>
    </row>
    <row r="4" spans="1:14">
      <c r="A4" t="s">
        <v>15</v>
      </c>
      <c r="B4" t="s">
        <v>112</v>
      </c>
      <c r="C4" t="s">
        <v>17</v>
      </c>
      <c r="D4">
        <v>506136</v>
      </c>
      <c r="E4">
        <v>13.89</v>
      </c>
      <c r="F4">
        <v>14</v>
      </c>
      <c r="G4" s="2">
        <f t="shared" si="1"/>
        <v>6903.6232635624165</v>
      </c>
      <c r="H4" s="2">
        <f t="shared" si="2"/>
        <v>1150695.9255705837</v>
      </c>
      <c r="I4" s="2">
        <f t="shared" si="3"/>
        <v>644559.92557058367</v>
      </c>
      <c r="J4">
        <v>0</v>
      </c>
      <c r="M4" s="3" t="s">
        <v>302</v>
      </c>
      <c r="N4" s="3">
        <f>COUNTIF(J2:J201,1)</f>
        <v>39</v>
      </c>
    </row>
    <row r="5" spans="1:14">
      <c r="A5" t="s">
        <v>18</v>
      </c>
      <c r="B5" t="s">
        <v>103</v>
      </c>
      <c r="C5" t="s">
        <v>17</v>
      </c>
      <c r="D5">
        <v>1280646</v>
      </c>
      <c r="E5">
        <v>11.96</v>
      </c>
      <c r="F5">
        <v>10</v>
      </c>
      <c r="G5" s="2">
        <f t="shared" si="1"/>
        <v>15331.285404311488</v>
      </c>
      <c r="H5" s="2">
        <f t="shared" si="2"/>
        <v>2200346.0812267847</v>
      </c>
      <c r="I5" s="2">
        <f t="shared" si="3"/>
        <v>919700.08122678474</v>
      </c>
      <c r="J5">
        <v>0</v>
      </c>
      <c r="M5" s="4" t="s">
        <v>303</v>
      </c>
      <c r="N5" s="5">
        <f>N4/N2</f>
        <v>0.19500000000000001</v>
      </c>
    </row>
    <row r="6" spans="1:14">
      <c r="A6" t="s">
        <v>20</v>
      </c>
      <c r="B6" t="s">
        <v>82</v>
      </c>
      <c r="C6" t="s">
        <v>14</v>
      </c>
      <c r="D6">
        <v>556801</v>
      </c>
      <c r="E6">
        <v>11.7</v>
      </c>
      <c r="F6">
        <v>14</v>
      </c>
      <c r="G6" s="2">
        <f t="shared" si="1"/>
        <v>8081.82819850941</v>
      </c>
      <c r="H6" s="2">
        <f t="shared" si="2"/>
        <v>1134688.6790707211</v>
      </c>
      <c r="I6" s="2">
        <f t="shared" si="3"/>
        <v>577887.67907072115</v>
      </c>
      <c r="J6">
        <v>0</v>
      </c>
      <c r="M6" s="4" t="s">
        <v>304</v>
      </c>
      <c r="N6" s="6">
        <f>AVERAGE(D2:D201)</f>
        <v>1014541.46</v>
      </c>
    </row>
    <row r="7" spans="1:14">
      <c r="A7" t="s">
        <v>22</v>
      </c>
      <c r="B7" t="s">
        <v>69</v>
      </c>
      <c r="C7" t="s">
        <v>11</v>
      </c>
      <c r="D7">
        <v>1166688</v>
      </c>
      <c r="E7">
        <v>13.2</v>
      </c>
      <c r="F7">
        <v>19</v>
      </c>
      <c r="G7" s="2">
        <f t="shared" si="1"/>
        <v>20145.584397308674</v>
      </c>
      <c r="H7" s="2">
        <f t="shared" si="2"/>
        <v>3191060.5685336934</v>
      </c>
      <c r="I7" s="2">
        <f t="shared" si="3"/>
        <v>2024372.5685336934</v>
      </c>
      <c r="J7">
        <v>0</v>
      </c>
      <c r="M7" s="3" t="s">
        <v>305</v>
      </c>
      <c r="N7" s="4">
        <f>MAX(D2:D201)</f>
        <v>1984155</v>
      </c>
    </row>
    <row r="8" spans="1:14">
      <c r="A8" t="s">
        <v>24</v>
      </c>
      <c r="B8" t="s">
        <v>73</v>
      </c>
      <c r="C8" t="s">
        <v>14</v>
      </c>
      <c r="D8">
        <v>706938</v>
      </c>
      <c r="E8">
        <v>9.94</v>
      </c>
      <c r="F8">
        <v>8</v>
      </c>
      <c r="G8" s="2">
        <f t="shared" si="1"/>
        <v>8610.9663550095847</v>
      </c>
      <c r="H8" s="2">
        <f t="shared" si="2"/>
        <v>1027116.0668255433</v>
      </c>
      <c r="I8" s="2">
        <f t="shared" si="3"/>
        <v>320178.0668255433</v>
      </c>
      <c r="J8">
        <v>0</v>
      </c>
      <c r="M8" s="4" t="s">
        <v>306</v>
      </c>
      <c r="N8" s="6">
        <f>MIN(D2:D201)</f>
        <v>57757</v>
      </c>
    </row>
    <row r="9" spans="1:14">
      <c r="A9" t="s">
        <v>26</v>
      </c>
      <c r="B9" t="s">
        <v>296</v>
      </c>
      <c r="C9" t="s">
        <v>11</v>
      </c>
      <c r="D9">
        <v>179148</v>
      </c>
      <c r="E9">
        <v>14.74</v>
      </c>
      <c r="F9">
        <v>20</v>
      </c>
      <c r="G9" s="2">
        <f t="shared" si="1"/>
        <v>3155.3506998965731</v>
      </c>
      <c r="H9" s="2">
        <f t="shared" si="2"/>
        <v>558118.43179770582</v>
      </c>
      <c r="I9" s="2">
        <f t="shared" si="3"/>
        <v>378970.43179770582</v>
      </c>
      <c r="J9">
        <v>1</v>
      </c>
    </row>
    <row r="10" spans="1:14">
      <c r="A10" t="s">
        <v>28</v>
      </c>
      <c r="B10" t="s">
        <v>272</v>
      </c>
      <c r="C10" t="s">
        <v>14</v>
      </c>
      <c r="D10">
        <v>1388636</v>
      </c>
      <c r="E10">
        <v>9.32</v>
      </c>
      <c r="F10">
        <v>2</v>
      </c>
      <c r="G10" s="2">
        <f t="shared" si="1"/>
        <v>13619.713505529535</v>
      </c>
      <c r="H10" s="2">
        <f t="shared" si="2"/>
        <v>1523228.7584584232</v>
      </c>
      <c r="I10" s="2">
        <f t="shared" si="3"/>
        <v>134592.7584584232</v>
      </c>
      <c r="J10">
        <v>1</v>
      </c>
    </row>
    <row r="11" spans="1:14">
      <c r="A11" t="s">
        <v>30</v>
      </c>
      <c r="B11" t="s">
        <v>159</v>
      </c>
      <c r="C11" t="s">
        <v>32</v>
      </c>
      <c r="D11">
        <v>347227</v>
      </c>
      <c r="E11">
        <v>7.9</v>
      </c>
      <c r="F11">
        <v>15</v>
      </c>
      <c r="G11" s="2">
        <f t="shared" si="1"/>
        <v>6272.1656927418335</v>
      </c>
      <c r="H11" s="2">
        <f t="shared" si="2"/>
        <v>594601.30767192575</v>
      </c>
      <c r="I11" s="2">
        <f t="shared" si="3"/>
        <v>247374.30767192575</v>
      </c>
      <c r="J11">
        <v>1</v>
      </c>
    </row>
    <row r="12" spans="1:14">
      <c r="A12" t="s">
        <v>33</v>
      </c>
      <c r="B12" t="s">
        <v>91</v>
      </c>
      <c r="C12" t="s">
        <v>11</v>
      </c>
      <c r="D12">
        <v>387832</v>
      </c>
      <c r="E12">
        <v>13.83</v>
      </c>
      <c r="F12">
        <v>17</v>
      </c>
      <c r="G12" s="2">
        <f t="shared" si="1"/>
        <v>6083.4642147220311</v>
      </c>
      <c r="H12" s="2">
        <f t="shared" si="2"/>
        <v>1009611.7210752682</v>
      </c>
      <c r="I12" s="2">
        <f t="shared" si="3"/>
        <v>621779.72107526823</v>
      </c>
      <c r="J12">
        <v>0</v>
      </c>
    </row>
    <row r="13" spans="1:14">
      <c r="A13" t="s">
        <v>34</v>
      </c>
      <c r="B13" t="s">
        <v>173</v>
      </c>
      <c r="C13" t="s">
        <v>14</v>
      </c>
      <c r="D13">
        <v>1003329</v>
      </c>
      <c r="E13">
        <v>13.62</v>
      </c>
      <c r="F13">
        <v>11</v>
      </c>
      <c r="G13" s="2">
        <f t="shared" si="1"/>
        <v>11868.296997489806</v>
      </c>
      <c r="H13" s="2">
        <f t="shared" si="2"/>
        <v>1939754.461269734</v>
      </c>
      <c r="I13" s="2">
        <f t="shared" si="3"/>
        <v>936425.46126973396</v>
      </c>
      <c r="J13">
        <v>1</v>
      </c>
      <c r="M13" s="23" t="s">
        <v>324</v>
      </c>
    </row>
    <row r="14" spans="1:14">
      <c r="A14" t="s">
        <v>36</v>
      </c>
      <c r="B14" t="s">
        <v>101</v>
      </c>
      <c r="C14" t="s">
        <v>32</v>
      </c>
      <c r="D14">
        <v>1526394</v>
      </c>
      <c r="E14">
        <v>10.69</v>
      </c>
      <c r="F14">
        <v>6</v>
      </c>
      <c r="G14" s="2">
        <f t="shared" si="1"/>
        <v>16148.794820491006</v>
      </c>
      <c r="H14" s="2">
        <f t="shared" si="2"/>
        <v>2071567.3995725862</v>
      </c>
      <c r="I14" s="2">
        <f t="shared" si="3"/>
        <v>545173.39957258618</v>
      </c>
      <c r="J14">
        <v>0</v>
      </c>
      <c r="M14" s="23"/>
    </row>
    <row r="15" spans="1:14">
      <c r="A15" t="s">
        <v>38</v>
      </c>
      <c r="B15" t="s">
        <v>215</v>
      </c>
      <c r="C15" t="s">
        <v>11</v>
      </c>
      <c r="D15">
        <v>706299</v>
      </c>
      <c r="E15">
        <v>12.72</v>
      </c>
      <c r="F15">
        <v>17</v>
      </c>
      <c r="G15" s="2">
        <f t="shared" si="1"/>
        <v>11329.245841871363</v>
      </c>
      <c r="H15" s="2">
        <f t="shared" si="2"/>
        <v>1729296.0853032451</v>
      </c>
      <c r="I15" s="2">
        <f t="shared" si="3"/>
        <v>1022997.0853032451</v>
      </c>
      <c r="J15">
        <v>0</v>
      </c>
    </row>
    <row r="16" spans="1:14">
      <c r="A16" t="s">
        <v>40</v>
      </c>
      <c r="B16" t="s">
        <v>264</v>
      </c>
      <c r="C16" t="s">
        <v>11</v>
      </c>
      <c r="D16">
        <v>1641014</v>
      </c>
      <c r="E16">
        <v>14.62</v>
      </c>
      <c r="F16">
        <v>10</v>
      </c>
      <c r="G16" s="2">
        <f t="shared" si="1"/>
        <v>17833.556226140914</v>
      </c>
      <c r="H16" s="2">
        <f t="shared" si="2"/>
        <v>3128719.1043141619</v>
      </c>
      <c r="I16" s="2">
        <f t="shared" si="3"/>
        <v>1487705.1043141619</v>
      </c>
      <c r="J16">
        <v>1</v>
      </c>
    </row>
    <row r="17" spans="1:10">
      <c r="A17" t="s">
        <v>41</v>
      </c>
      <c r="B17" t="s">
        <v>297</v>
      </c>
      <c r="C17" t="s">
        <v>14</v>
      </c>
      <c r="D17">
        <v>255970</v>
      </c>
      <c r="E17">
        <v>8.83</v>
      </c>
      <c r="F17">
        <v>8</v>
      </c>
      <c r="G17" s="2">
        <f t="shared" si="1"/>
        <v>3376.3028671434208</v>
      </c>
      <c r="H17" s="2">
        <f t="shared" si="2"/>
        <v>357753.05180251686</v>
      </c>
      <c r="I17" s="2">
        <f t="shared" si="3"/>
        <v>101783.05180251686</v>
      </c>
      <c r="J17">
        <v>0</v>
      </c>
    </row>
    <row r="18" spans="1:10">
      <c r="A18" t="s">
        <v>42</v>
      </c>
      <c r="B18" t="s">
        <v>192</v>
      </c>
      <c r="C18" t="s">
        <v>17</v>
      </c>
      <c r="D18">
        <v>927667</v>
      </c>
      <c r="E18">
        <v>14.54</v>
      </c>
      <c r="F18">
        <v>8</v>
      </c>
      <c r="G18" s="2">
        <f t="shared" si="1"/>
        <v>9011.1984081092742</v>
      </c>
      <c r="H18" s="2">
        <f t="shared" si="2"/>
        <v>1572273.898246906</v>
      </c>
      <c r="I18" s="2">
        <f t="shared" si="3"/>
        <v>644606.898246906</v>
      </c>
      <c r="J18">
        <v>1</v>
      </c>
    </row>
    <row r="19" spans="1:10">
      <c r="A19" t="s">
        <v>44</v>
      </c>
      <c r="B19" t="s">
        <v>220</v>
      </c>
      <c r="C19" t="s">
        <v>17</v>
      </c>
      <c r="D19">
        <v>1489379</v>
      </c>
      <c r="E19">
        <v>14.73</v>
      </c>
      <c r="F19">
        <v>9</v>
      </c>
      <c r="G19" s="2">
        <f t="shared" si="1"/>
        <v>15237.842882829216</v>
      </c>
      <c r="H19" s="2">
        <f t="shared" si="2"/>
        <v>2693441.1079688924</v>
      </c>
      <c r="I19" s="2">
        <f t="shared" si="3"/>
        <v>1204062.1079688924</v>
      </c>
      <c r="J19">
        <v>0</v>
      </c>
    </row>
    <row r="20" spans="1:10">
      <c r="A20" t="s">
        <v>45</v>
      </c>
      <c r="B20" t="s">
        <v>95</v>
      </c>
      <c r="C20" t="s">
        <v>11</v>
      </c>
      <c r="D20">
        <v>1973160</v>
      </c>
      <c r="E20">
        <v>12.94</v>
      </c>
      <c r="F20">
        <v>7</v>
      </c>
      <c r="G20" s="2">
        <f t="shared" si="1"/>
        <v>19353.92935943263</v>
      </c>
      <c r="H20" s="2">
        <f t="shared" si="2"/>
        <v>3005278.1509326985</v>
      </c>
      <c r="I20" s="2">
        <f t="shared" si="3"/>
        <v>1032118.1509326985</v>
      </c>
      <c r="J20">
        <v>0</v>
      </c>
    </row>
    <row r="21" spans="1:10">
      <c r="A21" t="s">
        <v>47</v>
      </c>
      <c r="B21" t="s">
        <v>180</v>
      </c>
      <c r="C21" t="s">
        <v>14</v>
      </c>
      <c r="D21">
        <v>367709</v>
      </c>
      <c r="E21">
        <v>10.130000000000001</v>
      </c>
      <c r="F21">
        <v>16</v>
      </c>
      <c r="G21" s="2">
        <f t="shared" si="1"/>
        <v>6127.4851064357772</v>
      </c>
      <c r="H21" s="2">
        <f t="shared" si="2"/>
        <v>744857.08953833312</v>
      </c>
      <c r="I21" s="2">
        <f t="shared" si="3"/>
        <v>377148.08953833312</v>
      </c>
      <c r="J21">
        <v>0</v>
      </c>
    </row>
    <row r="22" spans="1:10">
      <c r="A22" t="s">
        <v>49</v>
      </c>
      <c r="B22" t="s">
        <v>298</v>
      </c>
      <c r="C22" t="s">
        <v>14</v>
      </c>
      <c r="D22">
        <v>429364</v>
      </c>
      <c r="E22">
        <v>11.08</v>
      </c>
      <c r="F22">
        <v>12</v>
      </c>
      <c r="G22" s="2">
        <f t="shared" si="1"/>
        <v>5852.3260853863067</v>
      </c>
      <c r="H22" s="2">
        <f t="shared" si="2"/>
        <v>778125.27631296334</v>
      </c>
      <c r="I22" s="2">
        <f t="shared" si="3"/>
        <v>348761.27631296334</v>
      </c>
      <c r="J22">
        <v>0</v>
      </c>
    </row>
    <row r="23" spans="1:10">
      <c r="A23" t="s">
        <v>51</v>
      </c>
      <c r="B23" t="s">
        <v>43</v>
      </c>
      <c r="C23" t="s">
        <v>14</v>
      </c>
      <c r="D23">
        <v>361488</v>
      </c>
      <c r="E23">
        <v>8.68</v>
      </c>
      <c r="F23">
        <v>17</v>
      </c>
      <c r="G23" s="2">
        <f t="shared" si="1"/>
        <v>6659.5859872754836</v>
      </c>
      <c r="H23" s="2">
        <f t="shared" si="2"/>
        <v>693662.47643461439</v>
      </c>
      <c r="I23" s="2">
        <f t="shared" si="3"/>
        <v>332174.47643461439</v>
      </c>
      <c r="J23">
        <v>0</v>
      </c>
    </row>
    <row r="24" spans="1:10">
      <c r="A24" t="s">
        <v>53</v>
      </c>
      <c r="B24" t="s">
        <v>248</v>
      </c>
      <c r="C24" t="s">
        <v>11</v>
      </c>
      <c r="D24">
        <v>79934</v>
      </c>
      <c r="E24">
        <v>12.97</v>
      </c>
      <c r="F24">
        <v>13</v>
      </c>
      <c r="G24" s="2">
        <f t="shared" si="1"/>
        <v>1065.036727703806</v>
      </c>
      <c r="H24" s="2">
        <f t="shared" si="2"/>
        <v>165762.31629982038</v>
      </c>
      <c r="I24" s="2">
        <f t="shared" si="3"/>
        <v>85828.316299820377</v>
      </c>
      <c r="J24">
        <v>0</v>
      </c>
    </row>
    <row r="25" spans="1:10">
      <c r="A25" t="s">
        <v>54</v>
      </c>
      <c r="B25" t="s">
        <v>126</v>
      </c>
      <c r="C25" t="s">
        <v>14</v>
      </c>
      <c r="D25">
        <v>1705079</v>
      </c>
      <c r="E25">
        <v>12.82</v>
      </c>
      <c r="F25">
        <v>17</v>
      </c>
      <c r="G25" s="2">
        <f t="shared" si="1"/>
        <v>27289.559081355888</v>
      </c>
      <c r="H25" s="2">
        <f t="shared" si="2"/>
        <v>4198225.7690757904</v>
      </c>
      <c r="I25" s="2">
        <f t="shared" si="3"/>
        <v>2493146.7690757904</v>
      </c>
      <c r="J25">
        <v>0</v>
      </c>
    </row>
    <row r="26" spans="1:10">
      <c r="A26" t="s">
        <v>56</v>
      </c>
      <c r="B26" t="s">
        <v>23</v>
      </c>
      <c r="C26" t="s">
        <v>14</v>
      </c>
      <c r="D26">
        <v>548454</v>
      </c>
      <c r="E26">
        <v>8.07</v>
      </c>
      <c r="F26">
        <v>20</v>
      </c>
      <c r="G26" s="2">
        <f t="shared" si="1"/>
        <v>11451.256556105889</v>
      </c>
      <c r="H26" s="2">
        <f t="shared" si="2"/>
        <v>1108939.6848932942</v>
      </c>
      <c r="I26" s="2">
        <f t="shared" si="3"/>
        <v>560485.68489329424</v>
      </c>
      <c r="J26">
        <v>0</v>
      </c>
    </row>
    <row r="27" spans="1:10">
      <c r="A27" t="s">
        <v>57</v>
      </c>
      <c r="B27" t="s">
        <v>266</v>
      </c>
      <c r="C27" t="s">
        <v>11</v>
      </c>
      <c r="D27">
        <v>1631560</v>
      </c>
      <c r="E27">
        <v>9.15</v>
      </c>
      <c r="F27">
        <v>11</v>
      </c>
      <c r="G27" s="2">
        <f t="shared" si="1"/>
        <v>23633.678440726122</v>
      </c>
      <c r="H27" s="2">
        <f t="shared" si="2"/>
        <v>2594977.8927917285</v>
      </c>
      <c r="I27" s="2">
        <f t="shared" si="3"/>
        <v>963417.89279172849</v>
      </c>
      <c r="J27">
        <v>0</v>
      </c>
    </row>
    <row r="28" spans="1:10">
      <c r="A28" t="s">
        <v>58</v>
      </c>
      <c r="B28" t="s">
        <v>299</v>
      </c>
      <c r="C28" t="s">
        <v>17</v>
      </c>
      <c r="D28">
        <v>613542</v>
      </c>
      <c r="E28">
        <v>9.76</v>
      </c>
      <c r="F28">
        <v>15</v>
      </c>
      <c r="G28" s="2">
        <f t="shared" si="1"/>
        <v>10004.503665658591</v>
      </c>
      <c r="H28" s="2">
        <f t="shared" si="2"/>
        <v>1171727.469321934</v>
      </c>
      <c r="I28" s="2">
        <f t="shared" si="3"/>
        <v>558185.46932193404</v>
      </c>
      <c r="J28">
        <v>0</v>
      </c>
    </row>
    <row r="29" spans="1:10">
      <c r="A29" t="s">
        <v>60</v>
      </c>
      <c r="B29" t="s">
        <v>143</v>
      </c>
      <c r="C29" t="s">
        <v>17</v>
      </c>
      <c r="D29">
        <v>1402450</v>
      </c>
      <c r="E29">
        <v>7.07</v>
      </c>
      <c r="F29">
        <v>15</v>
      </c>
      <c r="G29" s="2">
        <f t="shared" si="1"/>
        <v>26910.838543816324</v>
      </c>
      <c r="H29" s="2">
        <f t="shared" si="2"/>
        <v>2283115.5420573773</v>
      </c>
      <c r="I29" s="2">
        <f t="shared" si="3"/>
        <v>880665.54205737729</v>
      </c>
      <c r="J29">
        <v>0</v>
      </c>
    </row>
    <row r="30" spans="1:10">
      <c r="A30" t="s">
        <v>62</v>
      </c>
      <c r="B30" t="s">
        <v>268</v>
      </c>
      <c r="C30" t="s">
        <v>14</v>
      </c>
      <c r="D30">
        <v>67222</v>
      </c>
      <c r="E30">
        <v>10.98</v>
      </c>
      <c r="F30">
        <v>8</v>
      </c>
      <c r="G30" s="2">
        <f t="shared" si="1"/>
        <v>768.24253280224343</v>
      </c>
      <c r="H30" s="2">
        <f t="shared" si="2"/>
        <v>101223.6361220236</v>
      </c>
      <c r="I30" s="2">
        <f t="shared" si="3"/>
        <v>34001.636122023599</v>
      </c>
      <c r="J30">
        <v>1</v>
      </c>
    </row>
    <row r="31" spans="1:10">
      <c r="A31" t="s">
        <v>64</v>
      </c>
      <c r="B31" t="s">
        <v>80</v>
      </c>
      <c r="C31" t="s">
        <v>11</v>
      </c>
      <c r="D31">
        <v>108242</v>
      </c>
      <c r="E31">
        <v>9.7100000000000009</v>
      </c>
      <c r="F31">
        <v>2</v>
      </c>
      <c r="G31" s="2">
        <f t="shared" si="1"/>
        <v>1022.847252635643</v>
      </c>
      <c r="H31" s="2">
        <f t="shared" si="2"/>
        <v>119182.16187710514</v>
      </c>
      <c r="I31" s="2">
        <f t="shared" si="3"/>
        <v>10940.161877105144</v>
      </c>
      <c r="J31">
        <v>1</v>
      </c>
    </row>
    <row r="32" spans="1:10">
      <c r="A32" t="s">
        <v>65</v>
      </c>
      <c r="B32" t="s">
        <v>131</v>
      </c>
      <c r="C32" t="s">
        <v>11</v>
      </c>
      <c r="D32">
        <v>839526</v>
      </c>
      <c r="E32">
        <v>11.09</v>
      </c>
      <c r="F32">
        <v>9</v>
      </c>
      <c r="G32" s="2">
        <f t="shared" si="1"/>
        <v>9993.6325585785289</v>
      </c>
      <c r="H32" s="2">
        <f t="shared" si="2"/>
        <v>1329952.6208956307</v>
      </c>
      <c r="I32" s="2">
        <f t="shared" si="3"/>
        <v>490426.62089563068</v>
      </c>
      <c r="J32">
        <v>0</v>
      </c>
    </row>
    <row r="33" spans="1:10">
      <c r="A33" t="s">
        <v>66</v>
      </c>
      <c r="B33" t="s">
        <v>300</v>
      </c>
      <c r="C33" t="s">
        <v>32</v>
      </c>
      <c r="D33">
        <v>195676</v>
      </c>
      <c r="E33">
        <v>14.11</v>
      </c>
      <c r="F33">
        <v>3</v>
      </c>
      <c r="G33" s="2">
        <f t="shared" si="1"/>
        <v>1418.8804166609571</v>
      </c>
      <c r="H33" s="2">
        <f t="shared" si="2"/>
        <v>240244.83214903323</v>
      </c>
      <c r="I33" s="2">
        <f t="shared" si="3"/>
        <v>44568.832149033231</v>
      </c>
      <c r="J33">
        <v>0</v>
      </c>
    </row>
    <row r="34" spans="1:10">
      <c r="A34" t="s">
        <v>68</v>
      </c>
      <c r="B34" t="s">
        <v>50</v>
      </c>
      <c r="C34" t="s">
        <v>14</v>
      </c>
      <c r="D34">
        <v>1569071</v>
      </c>
      <c r="E34">
        <v>14.29</v>
      </c>
      <c r="F34">
        <v>2</v>
      </c>
      <c r="G34" s="2">
        <f t="shared" si="1"/>
        <v>10527.498448870585</v>
      </c>
      <c r="H34" s="2">
        <f t="shared" si="2"/>
        <v>1805255.4340123278</v>
      </c>
      <c r="I34" s="2">
        <f t="shared" si="3"/>
        <v>236184.43401232781</v>
      </c>
      <c r="J34">
        <v>1</v>
      </c>
    </row>
    <row r="35" spans="1:10">
      <c r="A35" t="s">
        <v>70</v>
      </c>
      <c r="B35" t="s">
        <v>150</v>
      </c>
      <c r="C35" t="s">
        <v>17</v>
      </c>
      <c r="D35">
        <v>1756240</v>
      </c>
      <c r="E35">
        <v>14.95</v>
      </c>
      <c r="F35">
        <v>9</v>
      </c>
      <c r="G35" s="2">
        <f t="shared" si="1"/>
        <v>17841.202173367423</v>
      </c>
      <c r="H35" s="2">
        <f t="shared" si="2"/>
        <v>3200711.6699021161</v>
      </c>
      <c r="I35" s="2">
        <f t="shared" si="3"/>
        <v>1444471.6699021161</v>
      </c>
      <c r="J35">
        <v>0</v>
      </c>
    </row>
    <row r="36" spans="1:10">
      <c r="A36" t="s">
        <v>72</v>
      </c>
      <c r="B36" t="s">
        <v>233</v>
      </c>
      <c r="C36" t="s">
        <v>14</v>
      </c>
      <c r="D36">
        <v>1208176</v>
      </c>
      <c r="E36">
        <v>10.1</v>
      </c>
      <c r="F36">
        <v>6</v>
      </c>
      <c r="G36" s="2">
        <f t="shared" si="1"/>
        <v>13316.256285656344</v>
      </c>
      <c r="H36" s="2">
        <f t="shared" si="2"/>
        <v>1613930.2618215489</v>
      </c>
      <c r="I36" s="2">
        <f t="shared" si="3"/>
        <v>405754.26182154892</v>
      </c>
      <c r="J36">
        <v>0</v>
      </c>
    </row>
    <row r="37" spans="1:10">
      <c r="A37" t="s">
        <v>74</v>
      </c>
      <c r="B37" t="s">
        <v>75</v>
      </c>
      <c r="C37" t="s">
        <v>32</v>
      </c>
      <c r="D37">
        <v>1366080</v>
      </c>
      <c r="E37">
        <v>10.87</v>
      </c>
      <c r="F37">
        <v>20</v>
      </c>
      <c r="G37" s="2">
        <f t="shared" si="1"/>
        <v>25749.184855447842</v>
      </c>
      <c r="H37" s="2">
        <f t="shared" si="2"/>
        <v>3358723.6725446163</v>
      </c>
      <c r="I37" s="2">
        <f t="shared" si="3"/>
        <v>1992643.6725446163</v>
      </c>
      <c r="J37">
        <v>0</v>
      </c>
    </row>
    <row r="38" spans="1:10">
      <c r="A38" t="s">
        <v>76</v>
      </c>
      <c r="B38" t="s">
        <v>157</v>
      </c>
      <c r="C38" t="s">
        <v>14</v>
      </c>
      <c r="D38">
        <v>1798970</v>
      </c>
      <c r="E38">
        <v>14.87</v>
      </c>
      <c r="F38">
        <v>1</v>
      </c>
      <c r="G38" s="2">
        <f t="shared" si="1"/>
        <v>10853.985328266834</v>
      </c>
      <c r="H38" s="2">
        <f t="shared" si="2"/>
        <v>1936785.1419759337</v>
      </c>
      <c r="I38" s="2">
        <f t="shared" si="3"/>
        <v>137815.14197593369</v>
      </c>
      <c r="J38">
        <v>0</v>
      </c>
    </row>
    <row r="39" spans="1:10">
      <c r="A39" t="s">
        <v>77</v>
      </c>
      <c r="B39" t="s">
        <v>16</v>
      </c>
      <c r="C39" t="s">
        <v>11</v>
      </c>
      <c r="D39">
        <v>942383</v>
      </c>
      <c r="E39">
        <v>8.07</v>
      </c>
      <c r="F39">
        <v>13</v>
      </c>
      <c r="G39" s="2">
        <f t="shared" si="1"/>
        <v>15760.563698425942</v>
      </c>
      <c r="H39" s="2">
        <f t="shared" si="2"/>
        <v>1526252.9885555683</v>
      </c>
      <c r="I39" s="2">
        <f t="shared" si="3"/>
        <v>583869.98855556827</v>
      </c>
      <c r="J39">
        <v>0</v>
      </c>
    </row>
    <row r="40" spans="1:10">
      <c r="A40" t="s">
        <v>78</v>
      </c>
      <c r="B40" t="s">
        <v>210</v>
      </c>
      <c r="C40" t="s">
        <v>14</v>
      </c>
      <c r="D40">
        <v>1696358</v>
      </c>
      <c r="E40">
        <v>13.35</v>
      </c>
      <c r="F40">
        <v>20</v>
      </c>
      <c r="G40" s="2">
        <f t="shared" si="1"/>
        <v>30426.627700428195</v>
      </c>
      <c r="H40" s="2">
        <f t="shared" si="2"/>
        <v>4874345.7576085962</v>
      </c>
      <c r="I40" s="2">
        <f t="shared" si="3"/>
        <v>3177987.7576085962</v>
      </c>
      <c r="J40">
        <v>0</v>
      </c>
    </row>
    <row r="41" spans="1:10">
      <c r="A41" t="s">
        <v>79</v>
      </c>
      <c r="B41" t="s">
        <v>203</v>
      </c>
      <c r="C41" t="s">
        <v>14</v>
      </c>
      <c r="D41">
        <v>892354</v>
      </c>
      <c r="E41">
        <v>12.52</v>
      </c>
      <c r="F41">
        <v>3</v>
      </c>
      <c r="G41" s="2">
        <f t="shared" si="1"/>
        <v>7131.963785705324</v>
      </c>
      <c r="H41" s="2">
        <f t="shared" si="2"/>
        <v>1071506.2391643678</v>
      </c>
      <c r="I41" s="2">
        <f t="shared" si="3"/>
        <v>179152.23916436778</v>
      </c>
      <c r="J41">
        <v>1</v>
      </c>
    </row>
    <row r="42" spans="1:10">
      <c r="A42" t="s">
        <v>81</v>
      </c>
      <c r="B42" t="s">
        <v>166</v>
      </c>
      <c r="C42" t="s">
        <v>17</v>
      </c>
      <c r="D42">
        <v>1615010</v>
      </c>
      <c r="E42">
        <v>8.07</v>
      </c>
      <c r="F42">
        <v>7</v>
      </c>
      <c r="G42" s="2">
        <f t="shared" si="1"/>
        <v>21876.015742099236</v>
      </c>
      <c r="H42" s="2">
        <f t="shared" si="2"/>
        <v>2118473.3644648902</v>
      </c>
      <c r="I42" s="2">
        <f t="shared" si="3"/>
        <v>503463.36446489021</v>
      </c>
      <c r="J42">
        <v>0</v>
      </c>
    </row>
    <row r="43" spans="1:10">
      <c r="A43" t="s">
        <v>83</v>
      </c>
      <c r="B43" t="s">
        <v>148</v>
      </c>
      <c r="C43" t="s">
        <v>32</v>
      </c>
      <c r="D43">
        <v>1976897</v>
      </c>
      <c r="E43">
        <v>9.67</v>
      </c>
      <c r="F43">
        <v>7</v>
      </c>
      <c r="G43" s="2">
        <f t="shared" si="1"/>
        <v>23495.665374880537</v>
      </c>
      <c r="H43" s="2">
        <f t="shared" si="2"/>
        <v>2726437.0101011377</v>
      </c>
      <c r="I43" s="2">
        <f t="shared" si="3"/>
        <v>749540.01010113768</v>
      </c>
      <c r="J43">
        <v>0</v>
      </c>
    </row>
    <row r="44" spans="1:10">
      <c r="A44" t="s">
        <v>85</v>
      </c>
      <c r="B44" t="s">
        <v>108</v>
      </c>
      <c r="C44" t="s">
        <v>11</v>
      </c>
      <c r="D44">
        <v>1387543</v>
      </c>
      <c r="E44">
        <v>8.34</v>
      </c>
      <c r="F44">
        <v>1</v>
      </c>
      <c r="G44" s="2">
        <f t="shared" si="1"/>
        <v>14456.289361267562</v>
      </c>
      <c r="H44" s="2">
        <f t="shared" si="2"/>
        <v>1446785.4392756575</v>
      </c>
      <c r="I44" s="2">
        <f t="shared" si="3"/>
        <v>59242.439275657525</v>
      </c>
      <c r="J44">
        <v>0</v>
      </c>
    </row>
    <row r="45" spans="1:10">
      <c r="A45" t="s">
        <v>86</v>
      </c>
      <c r="B45" t="s">
        <v>97</v>
      </c>
      <c r="C45" t="s">
        <v>14</v>
      </c>
      <c r="D45">
        <v>1944766</v>
      </c>
      <c r="E45">
        <v>11.89</v>
      </c>
      <c r="F45">
        <v>14</v>
      </c>
      <c r="G45" s="2">
        <f t="shared" si="1"/>
        <v>28049.082748047</v>
      </c>
      <c r="H45" s="2">
        <f t="shared" si="2"/>
        <v>4002043.1264913459</v>
      </c>
      <c r="I45" s="2">
        <f t="shared" si="3"/>
        <v>2057277.1264913459</v>
      </c>
      <c r="J45">
        <v>0</v>
      </c>
    </row>
    <row r="46" spans="1:10">
      <c r="A46" t="s">
        <v>88</v>
      </c>
      <c r="B46" t="s">
        <v>141</v>
      </c>
      <c r="C46" t="s">
        <v>11</v>
      </c>
      <c r="D46">
        <v>358798</v>
      </c>
      <c r="E46">
        <v>8.27</v>
      </c>
      <c r="F46">
        <v>20</v>
      </c>
      <c r="G46" s="2">
        <f t="shared" si="1"/>
        <v>7418.473015133075</v>
      </c>
      <c r="H46" s="2">
        <f t="shared" si="2"/>
        <v>736209.26202180632</v>
      </c>
      <c r="I46" s="2">
        <f t="shared" si="3"/>
        <v>377411.26202180632</v>
      </c>
      <c r="J46">
        <v>0</v>
      </c>
    </row>
    <row r="47" spans="1:10">
      <c r="A47" t="s">
        <v>90</v>
      </c>
      <c r="B47" t="s">
        <v>29</v>
      </c>
      <c r="C47" t="s">
        <v>32</v>
      </c>
      <c r="D47">
        <v>1158811</v>
      </c>
      <c r="E47">
        <v>14.72</v>
      </c>
      <c r="F47">
        <v>19</v>
      </c>
      <c r="G47" s="2">
        <f t="shared" si="1"/>
        <v>19568.032043886928</v>
      </c>
      <c r="H47" s="2">
        <f t="shared" si="2"/>
        <v>3456497.1802321868</v>
      </c>
      <c r="I47" s="2">
        <f t="shared" si="3"/>
        <v>2297686.1802321868</v>
      </c>
      <c r="J47">
        <v>1</v>
      </c>
    </row>
    <row r="48" spans="1:10">
      <c r="A48" t="s">
        <v>92</v>
      </c>
      <c r="B48" t="s">
        <v>155</v>
      </c>
      <c r="C48" t="s">
        <v>11</v>
      </c>
      <c r="D48">
        <v>1652458</v>
      </c>
      <c r="E48">
        <v>11.01</v>
      </c>
      <c r="F48">
        <v>14</v>
      </c>
      <c r="G48" s="2">
        <f t="shared" si="1"/>
        <v>24590.142330578095</v>
      </c>
      <c r="H48" s="2">
        <f t="shared" si="2"/>
        <v>3248849.6047159778</v>
      </c>
      <c r="I48" s="2">
        <f t="shared" si="3"/>
        <v>1596391.6047159778</v>
      </c>
      <c r="J48">
        <v>0</v>
      </c>
    </row>
    <row r="49" spans="1:10">
      <c r="A49" t="s">
        <v>93</v>
      </c>
      <c r="B49" t="s">
        <v>19</v>
      </c>
      <c r="C49" t="s">
        <v>14</v>
      </c>
      <c r="D49">
        <v>856874</v>
      </c>
      <c r="E49">
        <v>11.15</v>
      </c>
      <c r="F49">
        <v>3</v>
      </c>
      <c r="G49" s="2">
        <f t="shared" si="1"/>
        <v>7542.7630963762413</v>
      </c>
      <c r="H49" s="2">
        <f t="shared" si="2"/>
        <v>1009221.7022951411</v>
      </c>
      <c r="I49" s="2">
        <f t="shared" si="3"/>
        <v>152347.70229514106</v>
      </c>
      <c r="J49">
        <v>0</v>
      </c>
    </row>
    <row r="50" spans="1:10">
      <c r="A50" t="s">
        <v>94</v>
      </c>
      <c r="B50" t="s">
        <v>52</v>
      </c>
      <c r="C50" t="s">
        <v>32</v>
      </c>
      <c r="D50">
        <v>1112345</v>
      </c>
      <c r="E50">
        <v>13.67</v>
      </c>
      <c r="F50">
        <v>15</v>
      </c>
      <c r="G50" s="2">
        <f t="shared" si="1"/>
        <v>15987.782220453901</v>
      </c>
      <c r="H50" s="2">
        <f t="shared" si="2"/>
        <v>2622635.7954432582</v>
      </c>
      <c r="I50" s="2">
        <f t="shared" si="3"/>
        <v>1510290.7954432582</v>
      </c>
      <c r="J50">
        <v>0</v>
      </c>
    </row>
    <row r="51" spans="1:10">
      <c r="A51" t="s">
        <v>96</v>
      </c>
      <c r="B51" t="s">
        <v>46</v>
      </c>
      <c r="C51" t="s">
        <v>14</v>
      </c>
      <c r="D51">
        <v>884652</v>
      </c>
      <c r="E51">
        <v>9.77</v>
      </c>
      <c r="F51">
        <v>6</v>
      </c>
      <c r="G51" s="2">
        <f t="shared" si="1"/>
        <v>9990.4478828280462</v>
      </c>
      <c r="H51" s="2">
        <f t="shared" si="2"/>
        <v>1171280.10978276</v>
      </c>
      <c r="I51" s="2">
        <f t="shared" si="3"/>
        <v>286628.10978276003</v>
      </c>
      <c r="J51">
        <v>0</v>
      </c>
    </row>
    <row r="52" spans="1:10">
      <c r="A52" t="s">
        <v>98</v>
      </c>
      <c r="B52" t="s">
        <v>59</v>
      </c>
      <c r="C52" t="s">
        <v>32</v>
      </c>
      <c r="D52">
        <v>1728619</v>
      </c>
      <c r="E52">
        <v>12.81</v>
      </c>
      <c r="F52">
        <v>15</v>
      </c>
      <c r="G52" s="2">
        <f t="shared" si="1"/>
        <v>25365.396373733027</v>
      </c>
      <c r="H52" s="2">
        <f t="shared" si="2"/>
        <v>3899168.7305702409</v>
      </c>
      <c r="I52" s="2">
        <f t="shared" si="3"/>
        <v>2170549.7305702409</v>
      </c>
      <c r="J52">
        <v>0</v>
      </c>
    </row>
    <row r="53" spans="1:10">
      <c r="A53" t="s">
        <v>99</v>
      </c>
      <c r="B53" t="s">
        <v>37</v>
      </c>
      <c r="C53" t="s">
        <v>14</v>
      </c>
      <c r="D53">
        <v>1476583</v>
      </c>
      <c r="E53">
        <v>7.98</v>
      </c>
      <c r="F53">
        <v>12</v>
      </c>
      <c r="G53" s="2">
        <f t="shared" si="1"/>
        <v>24034.601382288332</v>
      </c>
      <c r="H53" s="2">
        <f t="shared" si="2"/>
        <v>2301553.4283679305</v>
      </c>
      <c r="I53" s="2">
        <f t="shared" si="3"/>
        <v>824970.42836793046</v>
      </c>
      <c r="J53">
        <v>0</v>
      </c>
    </row>
    <row r="54" spans="1:10">
      <c r="A54" t="s">
        <v>100</v>
      </c>
      <c r="B54" t="s">
        <v>87</v>
      </c>
      <c r="C54" t="s">
        <v>17</v>
      </c>
      <c r="D54">
        <v>339167</v>
      </c>
      <c r="E54">
        <v>7.72</v>
      </c>
      <c r="F54">
        <v>17</v>
      </c>
      <c r="G54" s="2">
        <f t="shared" si="1"/>
        <v>6597.0421025368942</v>
      </c>
      <c r="H54" s="2">
        <f t="shared" si="2"/>
        <v>611149.98037901788</v>
      </c>
      <c r="I54" s="2">
        <f t="shared" si="3"/>
        <v>271982.98037901788</v>
      </c>
      <c r="J54">
        <v>0</v>
      </c>
    </row>
    <row r="55" spans="1:10">
      <c r="A55" t="s">
        <v>102</v>
      </c>
      <c r="B55" t="s">
        <v>103</v>
      </c>
      <c r="C55" t="s">
        <v>32</v>
      </c>
      <c r="D55">
        <v>904607</v>
      </c>
      <c r="E55">
        <v>12.06</v>
      </c>
      <c r="F55">
        <v>2</v>
      </c>
      <c r="G55" s="2">
        <f t="shared" si="1"/>
        <v>7040.0358680614017</v>
      </c>
      <c r="H55" s="2">
        <f t="shared" si="2"/>
        <v>1018833.9908258461</v>
      </c>
      <c r="I55" s="2">
        <f t="shared" si="3"/>
        <v>114226.99082584609</v>
      </c>
      <c r="J55">
        <v>0</v>
      </c>
    </row>
    <row r="56" spans="1:10">
      <c r="A56" t="s">
        <v>104</v>
      </c>
      <c r="B56" t="s">
        <v>105</v>
      </c>
      <c r="C56" t="s">
        <v>32</v>
      </c>
      <c r="D56">
        <v>1759358</v>
      </c>
      <c r="E56">
        <v>7.18</v>
      </c>
      <c r="F56">
        <v>16</v>
      </c>
      <c r="G56" s="2">
        <f t="shared" si="1"/>
        <v>34468.458769833473</v>
      </c>
      <c r="H56" s="2">
        <f t="shared" si="2"/>
        <v>2969802.4076088518</v>
      </c>
      <c r="I56" s="2">
        <f t="shared" si="3"/>
        <v>1210444.4076088518</v>
      </c>
      <c r="J56">
        <v>0</v>
      </c>
    </row>
    <row r="57" spans="1:10">
      <c r="A57" t="s">
        <v>106</v>
      </c>
      <c r="B57" t="s">
        <v>43</v>
      </c>
      <c r="C57" t="s">
        <v>17</v>
      </c>
      <c r="D57">
        <v>406720</v>
      </c>
      <c r="E57">
        <v>11.4</v>
      </c>
      <c r="F57">
        <v>12</v>
      </c>
      <c r="G57" s="2">
        <f t="shared" si="1"/>
        <v>5469.2514771627266</v>
      </c>
      <c r="H57" s="2">
        <f t="shared" si="2"/>
        <v>748193.60207586107</v>
      </c>
      <c r="I57" s="2">
        <f t="shared" si="3"/>
        <v>341473.60207586107</v>
      </c>
      <c r="J57">
        <v>0</v>
      </c>
    </row>
    <row r="58" spans="1:10">
      <c r="A58" t="s">
        <v>107</v>
      </c>
      <c r="B58" t="s">
        <v>108</v>
      </c>
      <c r="C58" t="s">
        <v>14</v>
      </c>
      <c r="D58">
        <v>215797</v>
      </c>
      <c r="E58">
        <v>13.36</v>
      </c>
      <c r="F58">
        <v>15</v>
      </c>
      <c r="G58" s="2">
        <f t="shared" si="1"/>
        <v>3123.7979244688813</v>
      </c>
      <c r="H58" s="2">
        <f t="shared" si="2"/>
        <v>500807.28325085109</v>
      </c>
      <c r="I58" s="2">
        <f t="shared" si="3"/>
        <v>285010.28325085109</v>
      </c>
      <c r="J58">
        <v>0</v>
      </c>
    </row>
    <row r="59" spans="1:10">
      <c r="A59" t="s">
        <v>109</v>
      </c>
      <c r="B59" t="s">
        <v>110</v>
      </c>
      <c r="C59" t="s">
        <v>17</v>
      </c>
      <c r="D59">
        <v>513004</v>
      </c>
      <c r="E59">
        <v>8.2200000000000006</v>
      </c>
      <c r="F59">
        <v>2</v>
      </c>
      <c r="G59" s="2">
        <f t="shared" si="1"/>
        <v>5644.3051652866161</v>
      </c>
      <c r="H59" s="2">
        <f t="shared" si="2"/>
        <v>556754.26150387188</v>
      </c>
      <c r="I59" s="2">
        <f t="shared" si="3"/>
        <v>43750.26150387188</v>
      </c>
      <c r="J59">
        <v>1</v>
      </c>
    </row>
    <row r="60" spans="1:10">
      <c r="A60" t="s">
        <v>111</v>
      </c>
      <c r="B60" t="s">
        <v>112</v>
      </c>
      <c r="C60" t="s">
        <v>14</v>
      </c>
      <c r="D60">
        <v>1530587</v>
      </c>
      <c r="E60">
        <v>12.13</v>
      </c>
      <c r="F60">
        <v>19</v>
      </c>
      <c r="G60" s="2">
        <f t="shared" si="1"/>
        <v>26975.153235559304</v>
      </c>
      <c r="H60" s="2">
        <f t="shared" si="2"/>
        <v>3926503.3049680125</v>
      </c>
      <c r="I60" s="2">
        <f t="shared" si="3"/>
        <v>2395916.3049680125</v>
      </c>
      <c r="J60">
        <v>1</v>
      </c>
    </row>
    <row r="61" spans="1:10">
      <c r="A61" t="s">
        <v>113</v>
      </c>
      <c r="B61" t="s">
        <v>21</v>
      </c>
      <c r="C61" t="s">
        <v>32</v>
      </c>
      <c r="D61">
        <v>1496777</v>
      </c>
      <c r="E61">
        <v>11.66</v>
      </c>
      <c r="F61">
        <v>18</v>
      </c>
      <c r="G61" s="2">
        <f t="shared" si="1"/>
        <v>25645.23711452015</v>
      </c>
      <c r="H61" s="2">
        <f t="shared" si="2"/>
        <v>3588281.5770636597</v>
      </c>
      <c r="I61" s="2">
        <f t="shared" si="3"/>
        <v>2091504.5770636597</v>
      </c>
      <c r="J61">
        <v>1</v>
      </c>
    </row>
    <row r="62" spans="1:10">
      <c r="A62" t="s">
        <v>114</v>
      </c>
      <c r="B62" t="s">
        <v>39</v>
      </c>
      <c r="C62" t="s">
        <v>17</v>
      </c>
      <c r="D62">
        <v>500507</v>
      </c>
      <c r="E62">
        <v>7.53</v>
      </c>
      <c r="F62">
        <v>2</v>
      </c>
      <c r="G62" s="2">
        <f t="shared" si="1"/>
        <v>5971.1927823687438</v>
      </c>
      <c r="H62" s="2">
        <f t="shared" si="2"/>
        <v>539556.97981483978</v>
      </c>
      <c r="I62" s="2">
        <f t="shared" si="3"/>
        <v>39049.979814839782</v>
      </c>
      <c r="J62">
        <v>0</v>
      </c>
    </row>
    <row r="63" spans="1:10">
      <c r="A63" t="s">
        <v>115</v>
      </c>
      <c r="B63" t="s">
        <v>91</v>
      </c>
      <c r="C63" t="s">
        <v>11</v>
      </c>
      <c r="D63">
        <v>786275</v>
      </c>
      <c r="E63">
        <v>9</v>
      </c>
      <c r="F63">
        <v>9</v>
      </c>
      <c r="G63" s="2">
        <f t="shared" si="1"/>
        <v>10648.450501245496</v>
      </c>
      <c r="H63" s="2">
        <f t="shared" si="2"/>
        <v>1150032.6541345133</v>
      </c>
      <c r="I63" s="2">
        <f t="shared" si="3"/>
        <v>363757.65413451334</v>
      </c>
      <c r="J63">
        <v>0</v>
      </c>
    </row>
    <row r="64" spans="1:10">
      <c r="A64" t="s">
        <v>116</v>
      </c>
      <c r="B64" t="s">
        <v>89</v>
      </c>
      <c r="C64" t="s">
        <v>14</v>
      </c>
      <c r="D64">
        <v>1190022</v>
      </c>
      <c r="E64">
        <v>11.67</v>
      </c>
      <c r="F64">
        <v>15</v>
      </c>
      <c r="G64" s="2">
        <f t="shared" si="1"/>
        <v>18043.362863146653</v>
      </c>
      <c r="H64" s="2">
        <f t="shared" si="2"/>
        <v>2526792.5353550571</v>
      </c>
      <c r="I64" s="2">
        <f t="shared" si="3"/>
        <v>1336770.5353550571</v>
      </c>
      <c r="J64">
        <v>0</v>
      </c>
    </row>
    <row r="65" spans="1:10">
      <c r="A65" t="s">
        <v>117</v>
      </c>
      <c r="B65" t="s">
        <v>55</v>
      </c>
      <c r="C65" t="s">
        <v>32</v>
      </c>
      <c r="D65">
        <v>1193507</v>
      </c>
      <c r="E65">
        <v>9.6999999999999993</v>
      </c>
      <c r="F65">
        <v>6</v>
      </c>
      <c r="G65" s="2">
        <f t="shared" si="1"/>
        <v>13549.971949679126</v>
      </c>
      <c r="H65" s="2">
        <f t="shared" si="2"/>
        <v>1577216.7349426502</v>
      </c>
      <c r="I65" s="2">
        <f t="shared" si="3"/>
        <v>383709.73494265019</v>
      </c>
      <c r="J65">
        <v>1</v>
      </c>
    </row>
    <row r="66" spans="1:10">
      <c r="A66" t="s">
        <v>118</v>
      </c>
      <c r="B66" t="s">
        <v>13</v>
      </c>
      <c r="C66" t="s">
        <v>17</v>
      </c>
      <c r="D66">
        <v>188783</v>
      </c>
      <c r="E66">
        <v>12.49</v>
      </c>
      <c r="F66">
        <v>5</v>
      </c>
      <c r="G66" s="2">
        <f t="shared" si="1"/>
        <v>1696.0698712264523</v>
      </c>
      <c r="H66" s="2">
        <f t="shared" si="2"/>
        <v>254206.95229942066</v>
      </c>
      <c r="I66" s="2">
        <f t="shared" si="3"/>
        <v>65423.952299420664</v>
      </c>
      <c r="J66">
        <v>0</v>
      </c>
    </row>
    <row r="67" spans="1:10">
      <c r="A67" t="s">
        <v>119</v>
      </c>
      <c r="B67" t="s">
        <v>29</v>
      </c>
      <c r="C67" t="s">
        <v>14</v>
      </c>
      <c r="D67">
        <v>1567726</v>
      </c>
      <c r="E67">
        <v>10.02</v>
      </c>
      <c r="F67">
        <v>10</v>
      </c>
      <c r="G67" s="2">
        <f t="shared" ref="G67:G130" si="4">PMT(F67/12/100, E67*12, -D67)</f>
        <v>20693.49423997679</v>
      </c>
      <c r="H67" s="2">
        <f t="shared" ref="H67:H130" si="5">G67*E67*12</f>
        <v>2488185.7474148092</v>
      </c>
      <c r="I67" s="2">
        <f t="shared" ref="I67:I130" si="6">H67-D67</f>
        <v>920459.74741480919</v>
      </c>
      <c r="J67">
        <v>0</v>
      </c>
    </row>
    <row r="68" spans="1:10">
      <c r="A68" t="s">
        <v>120</v>
      </c>
      <c r="B68" t="s">
        <v>50</v>
      </c>
      <c r="C68" t="s">
        <v>32</v>
      </c>
      <c r="D68">
        <v>1688035</v>
      </c>
      <c r="E68">
        <v>14.52</v>
      </c>
      <c r="F68">
        <v>6</v>
      </c>
      <c r="G68" s="2">
        <f t="shared" si="4"/>
        <v>14535.947377664233</v>
      </c>
      <c r="H68" s="2">
        <f t="shared" si="5"/>
        <v>2532743.4710842161</v>
      </c>
      <c r="I68" s="2">
        <f t="shared" si="6"/>
        <v>844708.47108421614</v>
      </c>
      <c r="J68">
        <v>0</v>
      </c>
    </row>
    <row r="69" spans="1:10">
      <c r="A69" t="s">
        <v>121</v>
      </c>
      <c r="B69" t="s">
        <v>23</v>
      </c>
      <c r="C69" t="s">
        <v>14</v>
      </c>
      <c r="D69">
        <v>941907</v>
      </c>
      <c r="E69">
        <v>7.7</v>
      </c>
      <c r="F69">
        <v>3</v>
      </c>
      <c r="G69" s="2">
        <f t="shared" si="4"/>
        <v>11429.151992050605</v>
      </c>
      <c r="H69" s="2">
        <f t="shared" si="5"/>
        <v>1056053.644065476</v>
      </c>
      <c r="I69" s="2">
        <f t="shared" si="6"/>
        <v>114146.64406547602</v>
      </c>
      <c r="J69">
        <v>0</v>
      </c>
    </row>
    <row r="70" spans="1:10">
      <c r="A70" t="s">
        <v>122</v>
      </c>
      <c r="B70" t="s">
        <v>61</v>
      </c>
      <c r="C70" t="s">
        <v>14</v>
      </c>
      <c r="D70">
        <v>1151061</v>
      </c>
      <c r="E70">
        <v>8.1</v>
      </c>
      <c r="F70">
        <v>7</v>
      </c>
      <c r="G70" s="2">
        <f t="shared" si="4"/>
        <v>15548.625839333496</v>
      </c>
      <c r="H70" s="2">
        <f t="shared" si="5"/>
        <v>1511326.4315832157</v>
      </c>
      <c r="I70" s="2">
        <f t="shared" si="6"/>
        <v>360265.43158321572</v>
      </c>
      <c r="J70">
        <v>0</v>
      </c>
    </row>
    <row r="71" spans="1:10">
      <c r="A71" t="s">
        <v>123</v>
      </c>
      <c r="B71" t="s">
        <v>16</v>
      </c>
      <c r="C71" t="s">
        <v>17</v>
      </c>
      <c r="D71">
        <v>1724445</v>
      </c>
      <c r="E71">
        <v>14.73</v>
      </c>
      <c r="F71">
        <v>19</v>
      </c>
      <c r="G71" s="2">
        <f t="shared" si="4"/>
        <v>29115.851654846872</v>
      </c>
      <c r="H71" s="2">
        <f t="shared" si="5"/>
        <v>5146517.9385107337</v>
      </c>
      <c r="I71" s="2">
        <f t="shared" si="6"/>
        <v>3422072.9385107337</v>
      </c>
      <c r="J71">
        <v>0</v>
      </c>
    </row>
    <row r="72" spans="1:10">
      <c r="A72" t="s">
        <v>124</v>
      </c>
      <c r="B72" t="s">
        <v>67</v>
      </c>
      <c r="C72" t="s">
        <v>32</v>
      </c>
      <c r="D72">
        <v>1429923</v>
      </c>
      <c r="E72">
        <v>11.19</v>
      </c>
      <c r="F72">
        <v>17</v>
      </c>
      <c r="G72" s="2">
        <f t="shared" si="4"/>
        <v>23866.595386006458</v>
      </c>
      <c r="H72" s="2">
        <f t="shared" si="5"/>
        <v>3204806.428432947</v>
      </c>
      <c r="I72" s="2">
        <f t="shared" si="6"/>
        <v>1774883.428432947</v>
      </c>
      <c r="J72">
        <v>0</v>
      </c>
    </row>
    <row r="73" spans="1:10">
      <c r="A73" t="s">
        <v>125</v>
      </c>
      <c r="B73" t="s">
        <v>126</v>
      </c>
      <c r="C73" t="s">
        <v>17</v>
      </c>
      <c r="D73">
        <v>1511312</v>
      </c>
      <c r="E73">
        <v>9.3699999999999992</v>
      </c>
      <c r="F73">
        <v>13</v>
      </c>
      <c r="G73" s="2">
        <f t="shared" si="4"/>
        <v>23313.937183654929</v>
      </c>
      <c r="H73" s="2">
        <f t="shared" si="5"/>
        <v>2621419.0969301597</v>
      </c>
      <c r="I73" s="2">
        <f t="shared" si="6"/>
        <v>1110107.0969301597</v>
      </c>
      <c r="J73">
        <v>0</v>
      </c>
    </row>
    <row r="74" spans="1:10">
      <c r="A74" t="s">
        <v>127</v>
      </c>
      <c r="B74" t="s">
        <v>29</v>
      </c>
      <c r="C74" t="s">
        <v>11</v>
      </c>
      <c r="D74">
        <v>1123938</v>
      </c>
      <c r="E74">
        <v>8.42</v>
      </c>
      <c r="F74">
        <v>1</v>
      </c>
      <c r="G74" s="2">
        <f t="shared" si="4"/>
        <v>11603.20371859288</v>
      </c>
      <c r="H74" s="2">
        <f t="shared" si="5"/>
        <v>1172387.7037266246</v>
      </c>
      <c r="I74" s="2">
        <f t="shared" si="6"/>
        <v>48449.703726624604</v>
      </c>
      <c r="J74">
        <v>0</v>
      </c>
    </row>
    <row r="75" spans="1:10">
      <c r="A75" t="s">
        <v>128</v>
      </c>
      <c r="B75" t="s">
        <v>129</v>
      </c>
      <c r="C75" t="s">
        <v>11</v>
      </c>
      <c r="D75">
        <v>1231757</v>
      </c>
      <c r="E75">
        <v>9.2100000000000009</v>
      </c>
      <c r="F75">
        <v>8</v>
      </c>
      <c r="G75" s="2">
        <f t="shared" si="4"/>
        <v>15786.137344581894</v>
      </c>
      <c r="H75" s="2">
        <f t="shared" si="5"/>
        <v>1744683.899323191</v>
      </c>
      <c r="I75" s="2">
        <f t="shared" si="6"/>
        <v>512926.89932319103</v>
      </c>
      <c r="J75">
        <v>1</v>
      </c>
    </row>
    <row r="76" spans="1:10">
      <c r="A76" t="s">
        <v>130</v>
      </c>
      <c r="B76" t="s">
        <v>131</v>
      </c>
      <c r="C76" t="s">
        <v>32</v>
      </c>
      <c r="D76">
        <v>1251744</v>
      </c>
      <c r="E76">
        <v>11.26</v>
      </c>
      <c r="F76">
        <v>12</v>
      </c>
      <c r="G76" s="2">
        <f t="shared" si="4"/>
        <v>16930.856348247347</v>
      </c>
      <c r="H76" s="2">
        <f t="shared" si="5"/>
        <v>2287697.3097751816</v>
      </c>
      <c r="I76" s="2">
        <f t="shared" si="6"/>
        <v>1035953.3097751816</v>
      </c>
      <c r="J76">
        <v>0</v>
      </c>
    </row>
    <row r="77" spans="1:10">
      <c r="A77" t="s">
        <v>132</v>
      </c>
      <c r="B77" t="s">
        <v>10</v>
      </c>
      <c r="C77" t="s">
        <v>17</v>
      </c>
      <c r="D77">
        <v>612267</v>
      </c>
      <c r="E77">
        <v>9.39</v>
      </c>
      <c r="F77">
        <v>19</v>
      </c>
      <c r="G77" s="2">
        <f t="shared" si="4"/>
        <v>11684.18433226143</v>
      </c>
      <c r="H77" s="2">
        <f t="shared" si="5"/>
        <v>1316573.8905592179</v>
      </c>
      <c r="I77" s="2">
        <f t="shared" si="6"/>
        <v>704306.89055921789</v>
      </c>
      <c r="J77">
        <v>0</v>
      </c>
    </row>
    <row r="78" spans="1:10">
      <c r="A78" t="s">
        <v>133</v>
      </c>
      <c r="B78" t="s">
        <v>131</v>
      </c>
      <c r="C78" t="s">
        <v>14</v>
      </c>
      <c r="D78">
        <v>1348194</v>
      </c>
      <c r="E78">
        <v>12.46</v>
      </c>
      <c r="F78">
        <v>17</v>
      </c>
      <c r="G78" s="2">
        <f t="shared" si="4"/>
        <v>21754.523181004097</v>
      </c>
      <c r="H78" s="2">
        <f t="shared" si="5"/>
        <v>3252736.3060237328</v>
      </c>
      <c r="I78" s="2">
        <f t="shared" si="6"/>
        <v>1904542.3060237328</v>
      </c>
      <c r="J78">
        <v>0</v>
      </c>
    </row>
    <row r="79" spans="1:10">
      <c r="A79" t="s">
        <v>134</v>
      </c>
      <c r="B79" t="s">
        <v>135</v>
      </c>
      <c r="C79" t="s">
        <v>32</v>
      </c>
      <c r="D79">
        <v>514933</v>
      </c>
      <c r="E79">
        <v>13.16</v>
      </c>
      <c r="F79">
        <v>8</v>
      </c>
      <c r="G79" s="2">
        <f t="shared" si="4"/>
        <v>5282.8321204983504</v>
      </c>
      <c r="H79" s="2">
        <f t="shared" si="5"/>
        <v>834264.8484690995</v>
      </c>
      <c r="I79" s="2">
        <f t="shared" si="6"/>
        <v>319331.8484690995</v>
      </c>
      <c r="J79">
        <v>0</v>
      </c>
    </row>
    <row r="80" spans="1:10">
      <c r="A80" t="s">
        <v>136</v>
      </c>
      <c r="B80" t="s">
        <v>110</v>
      </c>
      <c r="C80" t="s">
        <v>17</v>
      </c>
      <c r="D80">
        <v>1134224</v>
      </c>
      <c r="E80">
        <v>13.73</v>
      </c>
      <c r="F80">
        <v>4</v>
      </c>
      <c r="G80" s="2">
        <f t="shared" si="4"/>
        <v>8957.8236198209925</v>
      </c>
      <c r="H80" s="2">
        <f t="shared" si="5"/>
        <v>1475891.0196017069</v>
      </c>
      <c r="I80" s="2">
        <f t="shared" si="6"/>
        <v>341667.01960170688</v>
      </c>
      <c r="J80">
        <v>1</v>
      </c>
    </row>
    <row r="81" spans="1:10">
      <c r="A81" t="s">
        <v>137</v>
      </c>
      <c r="B81" t="s">
        <v>129</v>
      </c>
      <c r="C81" t="s">
        <v>14</v>
      </c>
      <c r="D81">
        <v>755507</v>
      </c>
      <c r="E81">
        <v>10.29</v>
      </c>
      <c r="F81">
        <v>16</v>
      </c>
      <c r="G81" s="2">
        <f t="shared" si="4"/>
        <v>12511.256285074898</v>
      </c>
      <c r="H81" s="2">
        <f t="shared" si="5"/>
        <v>1544889.9260810483</v>
      </c>
      <c r="I81" s="2">
        <f t="shared" si="6"/>
        <v>789382.92608104832</v>
      </c>
      <c r="J81">
        <v>0</v>
      </c>
    </row>
    <row r="82" spans="1:10">
      <c r="A82" t="s">
        <v>138</v>
      </c>
      <c r="B82" t="s">
        <v>139</v>
      </c>
      <c r="C82" t="s">
        <v>17</v>
      </c>
      <c r="D82">
        <v>1070485</v>
      </c>
      <c r="E82">
        <v>13.09</v>
      </c>
      <c r="F82">
        <v>18</v>
      </c>
      <c r="G82" s="2">
        <f t="shared" si="4"/>
        <v>17771.370455984419</v>
      </c>
      <c r="H82" s="2">
        <f t="shared" si="5"/>
        <v>2791526.8712260323</v>
      </c>
      <c r="I82" s="2">
        <f t="shared" si="6"/>
        <v>1721041.8712260323</v>
      </c>
      <c r="J82">
        <v>0</v>
      </c>
    </row>
    <row r="83" spans="1:10">
      <c r="A83" t="s">
        <v>140</v>
      </c>
      <c r="B83" t="s">
        <v>141</v>
      </c>
      <c r="C83" t="s">
        <v>11</v>
      </c>
      <c r="D83">
        <v>1877347</v>
      </c>
      <c r="E83">
        <v>10.55</v>
      </c>
      <c r="F83">
        <v>11</v>
      </c>
      <c r="G83" s="2">
        <f t="shared" si="4"/>
        <v>25122.293939571286</v>
      </c>
      <c r="H83" s="2">
        <f t="shared" si="5"/>
        <v>3180482.4127497249</v>
      </c>
      <c r="I83" s="2">
        <f t="shared" si="6"/>
        <v>1303135.4127497249</v>
      </c>
      <c r="J83">
        <v>1</v>
      </c>
    </row>
    <row r="84" spans="1:10">
      <c r="A84" t="s">
        <v>142</v>
      </c>
      <c r="B84" t="s">
        <v>143</v>
      </c>
      <c r="C84" t="s">
        <v>14</v>
      </c>
      <c r="D84">
        <v>1328398</v>
      </c>
      <c r="E84">
        <v>12.68</v>
      </c>
      <c r="F84">
        <v>5</v>
      </c>
      <c r="G84" s="2">
        <f t="shared" si="4"/>
        <v>11805.838050007773</v>
      </c>
      <c r="H84" s="2">
        <f t="shared" si="5"/>
        <v>1796376.3176891827</v>
      </c>
      <c r="I84" s="2">
        <f t="shared" si="6"/>
        <v>467978.3176891827</v>
      </c>
      <c r="J84">
        <v>0</v>
      </c>
    </row>
    <row r="85" spans="1:10">
      <c r="A85" t="s">
        <v>144</v>
      </c>
      <c r="B85" t="s">
        <v>48</v>
      </c>
      <c r="C85" t="s">
        <v>17</v>
      </c>
      <c r="D85">
        <v>792917</v>
      </c>
      <c r="E85">
        <v>7.98</v>
      </c>
      <c r="F85">
        <v>13</v>
      </c>
      <c r="G85" s="2">
        <f t="shared" si="4"/>
        <v>13345.814435075361</v>
      </c>
      <c r="H85" s="2">
        <f t="shared" si="5"/>
        <v>1277995.1903028167</v>
      </c>
      <c r="I85" s="2">
        <f t="shared" si="6"/>
        <v>485078.19030281669</v>
      </c>
      <c r="J85">
        <v>0</v>
      </c>
    </row>
    <row r="86" spans="1:10">
      <c r="A86" t="s">
        <v>145</v>
      </c>
      <c r="B86" t="s">
        <v>25</v>
      </c>
      <c r="C86" t="s">
        <v>32</v>
      </c>
      <c r="D86">
        <v>1354168</v>
      </c>
      <c r="E86">
        <v>12.22</v>
      </c>
      <c r="F86">
        <v>12</v>
      </c>
      <c r="G86" s="2">
        <f t="shared" si="4"/>
        <v>17642.538968970119</v>
      </c>
      <c r="H86" s="2">
        <f t="shared" si="5"/>
        <v>2587101.9144097781</v>
      </c>
      <c r="I86" s="2">
        <f t="shared" si="6"/>
        <v>1232933.9144097781</v>
      </c>
      <c r="J86">
        <v>0</v>
      </c>
    </row>
    <row r="87" spans="1:10">
      <c r="A87" t="s">
        <v>146</v>
      </c>
      <c r="B87" t="s">
        <v>129</v>
      </c>
      <c r="C87" t="s">
        <v>32</v>
      </c>
      <c r="D87">
        <v>1510601</v>
      </c>
      <c r="E87">
        <v>14.08</v>
      </c>
      <c r="F87">
        <v>16</v>
      </c>
      <c r="G87" s="2">
        <f t="shared" si="4"/>
        <v>22546.64182204946</v>
      </c>
      <c r="H87" s="2">
        <f t="shared" si="5"/>
        <v>3809480.6022534771</v>
      </c>
      <c r="I87" s="2">
        <f t="shared" si="6"/>
        <v>2298879.6022534771</v>
      </c>
      <c r="J87">
        <v>0</v>
      </c>
    </row>
    <row r="88" spans="1:10">
      <c r="A88" t="s">
        <v>147</v>
      </c>
      <c r="B88" t="s">
        <v>148</v>
      </c>
      <c r="C88" t="s">
        <v>32</v>
      </c>
      <c r="D88">
        <v>365027</v>
      </c>
      <c r="E88">
        <v>11.76</v>
      </c>
      <c r="F88">
        <v>15</v>
      </c>
      <c r="G88" s="2">
        <f t="shared" si="4"/>
        <v>5518.9515006668598</v>
      </c>
      <c r="H88" s="2">
        <f t="shared" si="5"/>
        <v>778834.43577410723</v>
      </c>
      <c r="I88" s="2">
        <f t="shared" si="6"/>
        <v>413807.43577410723</v>
      </c>
      <c r="J88">
        <v>0</v>
      </c>
    </row>
    <row r="89" spans="1:10">
      <c r="A89" t="s">
        <v>149</v>
      </c>
      <c r="B89" t="s">
        <v>150</v>
      </c>
      <c r="C89" t="s">
        <v>14</v>
      </c>
      <c r="D89">
        <v>60296</v>
      </c>
      <c r="E89">
        <v>9.34</v>
      </c>
      <c r="F89">
        <v>10</v>
      </c>
      <c r="G89" s="2">
        <f t="shared" si="4"/>
        <v>829.84101637054459</v>
      </c>
      <c r="H89" s="2">
        <f t="shared" si="5"/>
        <v>93008.581114810644</v>
      </c>
      <c r="I89" s="2">
        <f t="shared" si="6"/>
        <v>32712.581114810644</v>
      </c>
      <c r="J89">
        <v>1</v>
      </c>
    </row>
    <row r="90" spans="1:10">
      <c r="A90" t="s">
        <v>151</v>
      </c>
      <c r="B90" t="s">
        <v>87</v>
      </c>
      <c r="C90" t="s">
        <v>14</v>
      </c>
      <c r="D90">
        <v>969684</v>
      </c>
      <c r="E90">
        <v>10.42</v>
      </c>
      <c r="F90">
        <v>8</v>
      </c>
      <c r="G90" s="2">
        <f t="shared" si="4"/>
        <v>11455.60678354355</v>
      </c>
      <c r="H90" s="2">
        <f t="shared" si="5"/>
        <v>1432409.0722142854</v>
      </c>
      <c r="I90" s="2">
        <f t="shared" si="6"/>
        <v>462725.07221428538</v>
      </c>
      <c r="J90">
        <v>0</v>
      </c>
    </row>
    <row r="91" spans="1:10">
      <c r="A91" t="s">
        <v>152</v>
      </c>
      <c r="B91" t="s">
        <v>153</v>
      </c>
      <c r="C91" t="s">
        <v>14</v>
      </c>
      <c r="D91">
        <v>228906</v>
      </c>
      <c r="E91">
        <v>12.31</v>
      </c>
      <c r="F91">
        <v>18</v>
      </c>
      <c r="G91" s="2">
        <f t="shared" si="4"/>
        <v>3861.7658589956586</v>
      </c>
      <c r="H91" s="2">
        <f t="shared" si="5"/>
        <v>570460.0526908387</v>
      </c>
      <c r="I91" s="2">
        <f t="shared" si="6"/>
        <v>341554.0526908387</v>
      </c>
      <c r="J91">
        <v>0</v>
      </c>
    </row>
    <row r="92" spans="1:10">
      <c r="A92" t="s">
        <v>154</v>
      </c>
      <c r="B92" t="s">
        <v>155</v>
      </c>
      <c r="C92" t="s">
        <v>14</v>
      </c>
      <c r="D92">
        <v>1638614</v>
      </c>
      <c r="E92">
        <v>9.34</v>
      </c>
      <c r="F92">
        <v>3</v>
      </c>
      <c r="G92" s="2">
        <f t="shared" si="4"/>
        <v>16781.984458630948</v>
      </c>
      <c r="H92" s="2">
        <f t="shared" si="5"/>
        <v>1880924.8181233567</v>
      </c>
      <c r="I92" s="2">
        <f t="shared" si="6"/>
        <v>242310.81812335667</v>
      </c>
      <c r="J92">
        <v>1</v>
      </c>
    </row>
    <row r="93" spans="1:10">
      <c r="A93" t="s">
        <v>156</v>
      </c>
      <c r="B93" t="s">
        <v>157</v>
      </c>
      <c r="C93" t="s">
        <v>17</v>
      </c>
      <c r="D93">
        <v>447318</v>
      </c>
      <c r="E93">
        <v>8.8800000000000008</v>
      </c>
      <c r="F93">
        <v>4</v>
      </c>
      <c r="G93" s="2">
        <f t="shared" si="4"/>
        <v>4994.296424538702</v>
      </c>
      <c r="H93" s="2">
        <f t="shared" si="5"/>
        <v>532192.22699884418</v>
      </c>
      <c r="I93" s="2">
        <f t="shared" si="6"/>
        <v>84874.226998844184</v>
      </c>
      <c r="J93">
        <v>0</v>
      </c>
    </row>
    <row r="94" spans="1:10">
      <c r="A94" t="s">
        <v>158</v>
      </c>
      <c r="B94" t="s">
        <v>159</v>
      </c>
      <c r="C94" t="s">
        <v>11</v>
      </c>
      <c r="D94">
        <v>472780</v>
      </c>
      <c r="E94">
        <v>12.59</v>
      </c>
      <c r="F94">
        <v>8</v>
      </c>
      <c r="G94" s="2">
        <f t="shared" si="4"/>
        <v>4975.0322999577484</v>
      </c>
      <c r="H94" s="2">
        <f t="shared" si="5"/>
        <v>751627.87987761665</v>
      </c>
      <c r="I94" s="2">
        <f t="shared" si="6"/>
        <v>278847.87987761665</v>
      </c>
      <c r="J94">
        <v>0</v>
      </c>
    </row>
    <row r="95" spans="1:10">
      <c r="A95" t="s">
        <v>160</v>
      </c>
      <c r="B95" t="s">
        <v>82</v>
      </c>
      <c r="C95" t="s">
        <v>17</v>
      </c>
      <c r="D95">
        <v>1117581</v>
      </c>
      <c r="E95">
        <v>8.86</v>
      </c>
      <c r="F95">
        <v>8</v>
      </c>
      <c r="G95" s="2">
        <f t="shared" si="4"/>
        <v>14706.766274818221</v>
      </c>
      <c r="H95" s="2">
        <f t="shared" si="5"/>
        <v>1563623.3903386733</v>
      </c>
      <c r="I95" s="2">
        <f t="shared" si="6"/>
        <v>446042.39033867326</v>
      </c>
      <c r="J95">
        <v>0</v>
      </c>
    </row>
    <row r="96" spans="1:10">
      <c r="A96" t="s">
        <v>161</v>
      </c>
      <c r="B96" t="s">
        <v>162</v>
      </c>
      <c r="C96" t="s">
        <v>17</v>
      </c>
      <c r="D96">
        <v>511939</v>
      </c>
      <c r="E96">
        <v>9.91</v>
      </c>
      <c r="F96">
        <v>5</v>
      </c>
      <c r="G96" s="2">
        <f t="shared" si="4"/>
        <v>5467.9436727126576</v>
      </c>
      <c r="H96" s="2">
        <f t="shared" si="5"/>
        <v>650247.86155898927</v>
      </c>
      <c r="I96" s="2">
        <f t="shared" si="6"/>
        <v>138308.86155898927</v>
      </c>
      <c r="J96">
        <v>0</v>
      </c>
    </row>
    <row r="97" spans="1:10">
      <c r="A97" t="s">
        <v>163</v>
      </c>
      <c r="B97" t="s">
        <v>148</v>
      </c>
      <c r="C97" t="s">
        <v>11</v>
      </c>
      <c r="D97">
        <v>821715</v>
      </c>
      <c r="E97">
        <v>9.56</v>
      </c>
      <c r="F97">
        <v>15</v>
      </c>
      <c r="G97" s="2">
        <f t="shared" si="4"/>
        <v>13523.619925488387</v>
      </c>
      <c r="H97" s="2">
        <f t="shared" si="5"/>
        <v>1551429.6778520278</v>
      </c>
      <c r="I97" s="2">
        <f t="shared" si="6"/>
        <v>729714.67785202782</v>
      </c>
      <c r="J97">
        <v>1</v>
      </c>
    </row>
    <row r="98" spans="1:10">
      <c r="A98" t="s">
        <v>164</v>
      </c>
      <c r="B98" t="s">
        <v>101</v>
      </c>
      <c r="C98" t="s">
        <v>11</v>
      </c>
      <c r="D98">
        <v>1712192</v>
      </c>
      <c r="E98">
        <v>8.98</v>
      </c>
      <c r="F98">
        <v>13</v>
      </c>
      <c r="G98" s="2">
        <f t="shared" si="4"/>
        <v>27004.925422166918</v>
      </c>
      <c r="H98" s="2">
        <f t="shared" si="5"/>
        <v>2910050.7634927072</v>
      </c>
      <c r="I98" s="2">
        <f t="shared" si="6"/>
        <v>1197858.7634927072</v>
      </c>
      <c r="J98">
        <v>0</v>
      </c>
    </row>
    <row r="99" spans="1:10">
      <c r="A99" t="s">
        <v>165</v>
      </c>
      <c r="B99" t="s">
        <v>166</v>
      </c>
      <c r="C99" t="s">
        <v>11</v>
      </c>
      <c r="D99">
        <v>1842272</v>
      </c>
      <c r="E99">
        <v>13.29</v>
      </c>
      <c r="F99">
        <v>3</v>
      </c>
      <c r="G99" s="2">
        <f t="shared" si="4"/>
        <v>14021.447211357572</v>
      </c>
      <c r="H99" s="2">
        <f t="shared" si="5"/>
        <v>2236140.4012673055</v>
      </c>
      <c r="I99" s="2">
        <f t="shared" si="6"/>
        <v>393868.40126730548</v>
      </c>
      <c r="J99">
        <v>1</v>
      </c>
    </row>
    <row r="100" spans="1:10">
      <c r="A100" t="s">
        <v>167</v>
      </c>
      <c r="B100" t="s">
        <v>27</v>
      </c>
      <c r="C100" t="s">
        <v>32</v>
      </c>
      <c r="D100">
        <v>121933</v>
      </c>
      <c r="E100">
        <v>8.92</v>
      </c>
      <c r="F100">
        <v>20</v>
      </c>
      <c r="G100" s="2">
        <f t="shared" si="4"/>
        <v>2449.7904667057664</v>
      </c>
      <c r="H100" s="2">
        <f t="shared" si="5"/>
        <v>262225.57155618526</v>
      </c>
      <c r="I100" s="2">
        <f t="shared" si="6"/>
        <v>140292.57155618526</v>
      </c>
      <c r="J100">
        <v>0</v>
      </c>
    </row>
    <row r="101" spans="1:10">
      <c r="A101" t="s">
        <v>168</v>
      </c>
      <c r="B101" t="s">
        <v>43</v>
      </c>
      <c r="C101" t="s">
        <v>11</v>
      </c>
      <c r="D101">
        <v>835707</v>
      </c>
      <c r="E101">
        <v>14.77</v>
      </c>
      <c r="F101">
        <v>19</v>
      </c>
      <c r="G101" s="2">
        <f t="shared" si="4"/>
        <v>14103.20165204166</v>
      </c>
      <c r="H101" s="2">
        <f t="shared" si="5"/>
        <v>2499651.4608078636</v>
      </c>
      <c r="I101" s="2">
        <f t="shared" si="6"/>
        <v>1663944.4608078636</v>
      </c>
      <c r="J101">
        <v>0</v>
      </c>
    </row>
    <row r="102" spans="1:10">
      <c r="A102" t="s">
        <v>169</v>
      </c>
      <c r="B102" t="s">
        <v>170</v>
      </c>
      <c r="C102" t="s">
        <v>32</v>
      </c>
      <c r="D102">
        <v>1808375</v>
      </c>
      <c r="E102">
        <v>14.19</v>
      </c>
      <c r="F102">
        <v>15</v>
      </c>
      <c r="G102" s="2">
        <f t="shared" si="4"/>
        <v>25704.562541861964</v>
      </c>
      <c r="H102" s="2">
        <f t="shared" si="5"/>
        <v>4376972.9096282553</v>
      </c>
      <c r="I102" s="2">
        <f t="shared" si="6"/>
        <v>2568597.9096282553</v>
      </c>
      <c r="J102">
        <v>0</v>
      </c>
    </row>
    <row r="103" spans="1:10">
      <c r="A103" t="s">
        <v>171</v>
      </c>
      <c r="B103" t="s">
        <v>91</v>
      </c>
      <c r="C103" t="s">
        <v>14</v>
      </c>
      <c r="D103">
        <v>1474181</v>
      </c>
      <c r="E103">
        <v>10.71</v>
      </c>
      <c r="F103">
        <v>12</v>
      </c>
      <c r="G103" s="2">
        <f t="shared" si="4"/>
        <v>20428.390518877</v>
      </c>
      <c r="H103" s="2">
        <f t="shared" si="5"/>
        <v>2625456.7494860725</v>
      </c>
      <c r="I103" s="2">
        <f t="shared" si="6"/>
        <v>1151275.7494860725</v>
      </c>
      <c r="J103">
        <v>1</v>
      </c>
    </row>
    <row r="104" spans="1:10">
      <c r="A104" t="s">
        <v>172</v>
      </c>
      <c r="B104" t="s">
        <v>173</v>
      </c>
      <c r="C104" t="s">
        <v>32</v>
      </c>
      <c r="D104">
        <v>1840049</v>
      </c>
      <c r="E104">
        <v>14.63</v>
      </c>
      <c r="F104">
        <v>10</v>
      </c>
      <c r="G104" s="2">
        <f t="shared" si="4"/>
        <v>19990.498598279468</v>
      </c>
      <c r="H104" s="2">
        <f t="shared" si="5"/>
        <v>3509531.9339139434</v>
      </c>
      <c r="I104" s="2">
        <f t="shared" si="6"/>
        <v>1669482.9339139434</v>
      </c>
      <c r="J104">
        <v>0</v>
      </c>
    </row>
    <row r="105" spans="1:10">
      <c r="A105" t="s">
        <v>174</v>
      </c>
      <c r="B105" t="s">
        <v>175</v>
      </c>
      <c r="C105" t="s">
        <v>14</v>
      </c>
      <c r="D105">
        <v>1733250</v>
      </c>
      <c r="E105">
        <v>13.84</v>
      </c>
      <c r="F105">
        <v>15</v>
      </c>
      <c r="G105" s="2">
        <f t="shared" si="4"/>
        <v>24819.014664973074</v>
      </c>
      <c r="H105" s="2">
        <f t="shared" si="5"/>
        <v>4121941.9555587284</v>
      </c>
      <c r="I105" s="2">
        <f t="shared" si="6"/>
        <v>2388691.9555587284</v>
      </c>
      <c r="J105">
        <v>1</v>
      </c>
    </row>
    <row r="106" spans="1:10">
      <c r="A106" t="s">
        <v>176</v>
      </c>
      <c r="B106" t="s">
        <v>157</v>
      </c>
      <c r="C106" t="s">
        <v>14</v>
      </c>
      <c r="D106">
        <v>1164597</v>
      </c>
      <c r="E106">
        <v>13.24</v>
      </c>
      <c r="F106">
        <v>20</v>
      </c>
      <c r="G106" s="2">
        <f t="shared" si="4"/>
        <v>20923.890898028505</v>
      </c>
      <c r="H106" s="2">
        <f t="shared" si="5"/>
        <v>3324387.7858787687</v>
      </c>
      <c r="I106" s="2">
        <f t="shared" si="6"/>
        <v>2159790.7858787687</v>
      </c>
      <c r="J106">
        <v>0</v>
      </c>
    </row>
    <row r="107" spans="1:10">
      <c r="A107" t="s">
        <v>177</v>
      </c>
      <c r="B107" t="s">
        <v>178</v>
      </c>
      <c r="C107" t="s">
        <v>14</v>
      </c>
      <c r="D107">
        <v>1492328</v>
      </c>
      <c r="E107">
        <v>13.28</v>
      </c>
      <c r="F107">
        <v>8</v>
      </c>
      <c r="G107" s="2">
        <f t="shared" si="4"/>
        <v>15232.01836616406</v>
      </c>
      <c r="H107" s="2">
        <f t="shared" si="5"/>
        <v>2427374.4468319044</v>
      </c>
      <c r="I107" s="2">
        <f t="shared" si="6"/>
        <v>935046.44683190435</v>
      </c>
      <c r="J107">
        <v>0</v>
      </c>
    </row>
    <row r="108" spans="1:10">
      <c r="A108" t="s">
        <v>179</v>
      </c>
      <c r="B108" t="s">
        <v>180</v>
      </c>
      <c r="C108" t="s">
        <v>11</v>
      </c>
      <c r="D108">
        <v>93778</v>
      </c>
      <c r="E108">
        <v>8.8000000000000007</v>
      </c>
      <c r="F108">
        <v>9</v>
      </c>
      <c r="G108" s="2">
        <f t="shared" si="4"/>
        <v>1288.8168023401377</v>
      </c>
      <c r="H108" s="2">
        <f t="shared" si="5"/>
        <v>136099.05432711856</v>
      </c>
      <c r="I108" s="2">
        <f t="shared" si="6"/>
        <v>42321.05432711856</v>
      </c>
      <c r="J108">
        <v>0</v>
      </c>
    </row>
    <row r="109" spans="1:10">
      <c r="A109" t="s">
        <v>181</v>
      </c>
      <c r="B109" t="s">
        <v>97</v>
      </c>
      <c r="C109" t="s">
        <v>17</v>
      </c>
      <c r="D109">
        <v>844560</v>
      </c>
      <c r="E109">
        <v>13.44</v>
      </c>
      <c r="F109">
        <v>14</v>
      </c>
      <c r="G109" s="2">
        <f t="shared" si="4"/>
        <v>11647.007914503916</v>
      </c>
      <c r="H109" s="2">
        <f t="shared" si="5"/>
        <v>1878429.4364511915</v>
      </c>
      <c r="I109" s="2">
        <f t="shared" si="6"/>
        <v>1033869.4364511915</v>
      </c>
      <c r="J109">
        <v>0</v>
      </c>
    </row>
    <row r="110" spans="1:10">
      <c r="A110" t="s">
        <v>182</v>
      </c>
      <c r="B110" t="s">
        <v>21</v>
      </c>
      <c r="C110" t="s">
        <v>11</v>
      </c>
      <c r="D110">
        <v>367900</v>
      </c>
      <c r="E110">
        <v>7.77</v>
      </c>
      <c r="F110">
        <v>12</v>
      </c>
      <c r="G110" s="2">
        <f t="shared" si="4"/>
        <v>6085.3671865424822</v>
      </c>
      <c r="H110" s="2">
        <f t="shared" si="5"/>
        <v>567399.63647322101</v>
      </c>
      <c r="I110" s="2">
        <f t="shared" si="6"/>
        <v>199499.63647322101</v>
      </c>
      <c r="J110">
        <v>0</v>
      </c>
    </row>
    <row r="111" spans="1:10">
      <c r="A111" t="s">
        <v>183</v>
      </c>
      <c r="B111" t="s">
        <v>46</v>
      </c>
      <c r="C111" t="s">
        <v>14</v>
      </c>
      <c r="D111">
        <v>125484</v>
      </c>
      <c r="E111">
        <v>14.07</v>
      </c>
      <c r="F111">
        <v>2</v>
      </c>
      <c r="G111" s="2">
        <f t="shared" si="4"/>
        <v>853.29548704270837</v>
      </c>
      <c r="H111" s="2">
        <f t="shared" si="5"/>
        <v>144070.41003229091</v>
      </c>
      <c r="I111" s="2">
        <f t="shared" si="6"/>
        <v>18586.410032290907</v>
      </c>
      <c r="J111">
        <v>0</v>
      </c>
    </row>
    <row r="112" spans="1:10">
      <c r="A112" t="s">
        <v>184</v>
      </c>
      <c r="B112" t="s">
        <v>159</v>
      </c>
      <c r="C112" t="s">
        <v>14</v>
      </c>
      <c r="D112">
        <v>61041</v>
      </c>
      <c r="E112">
        <v>9.93</v>
      </c>
      <c r="F112">
        <v>9</v>
      </c>
      <c r="G112" s="2">
        <f t="shared" si="4"/>
        <v>776.61065809976458</v>
      </c>
      <c r="H112" s="2">
        <f t="shared" si="5"/>
        <v>92540.92601916795</v>
      </c>
      <c r="I112" s="2">
        <f t="shared" si="6"/>
        <v>31499.92601916795</v>
      </c>
      <c r="J112">
        <v>0</v>
      </c>
    </row>
    <row r="113" spans="1:10">
      <c r="A113" t="s">
        <v>185</v>
      </c>
      <c r="B113" t="s">
        <v>186</v>
      </c>
      <c r="C113" t="s">
        <v>14</v>
      </c>
      <c r="D113">
        <v>980474</v>
      </c>
      <c r="E113">
        <v>10.42</v>
      </c>
      <c r="F113">
        <v>17</v>
      </c>
      <c r="G113" s="2">
        <f t="shared" si="4"/>
        <v>16779.92347921239</v>
      </c>
      <c r="H113" s="2">
        <f t="shared" si="5"/>
        <v>2098161.631840717</v>
      </c>
      <c r="I113" s="2">
        <f t="shared" si="6"/>
        <v>1117687.631840717</v>
      </c>
      <c r="J113">
        <v>0</v>
      </c>
    </row>
    <row r="114" spans="1:10">
      <c r="A114" t="s">
        <v>187</v>
      </c>
      <c r="B114" t="s">
        <v>73</v>
      </c>
      <c r="C114" t="s">
        <v>14</v>
      </c>
      <c r="D114">
        <v>1968308</v>
      </c>
      <c r="E114">
        <v>8.44</v>
      </c>
      <c r="F114">
        <v>15</v>
      </c>
      <c r="G114" s="2">
        <f t="shared" si="4"/>
        <v>34371.486385837925</v>
      </c>
      <c r="H114" s="2">
        <f t="shared" si="5"/>
        <v>3481144.1411576648</v>
      </c>
      <c r="I114" s="2">
        <f t="shared" si="6"/>
        <v>1512836.1411576648</v>
      </c>
      <c r="J114">
        <v>0</v>
      </c>
    </row>
    <row r="115" spans="1:10">
      <c r="A115" t="s">
        <v>188</v>
      </c>
      <c r="B115" t="s">
        <v>21</v>
      </c>
      <c r="C115" t="s">
        <v>14</v>
      </c>
      <c r="D115">
        <v>592250</v>
      </c>
      <c r="E115">
        <v>12.18</v>
      </c>
      <c r="F115">
        <v>3</v>
      </c>
      <c r="G115" s="2">
        <f t="shared" si="4"/>
        <v>4842.3708364156846</v>
      </c>
      <c r="H115" s="2">
        <f t="shared" si="5"/>
        <v>707760.92145051644</v>
      </c>
      <c r="I115" s="2">
        <f t="shared" si="6"/>
        <v>115510.92145051644</v>
      </c>
      <c r="J115">
        <v>0</v>
      </c>
    </row>
    <row r="116" spans="1:10">
      <c r="A116" t="s">
        <v>189</v>
      </c>
      <c r="B116" t="s">
        <v>108</v>
      </c>
      <c r="C116" t="s">
        <v>32</v>
      </c>
      <c r="D116">
        <v>83144</v>
      </c>
      <c r="E116">
        <v>11.32</v>
      </c>
      <c r="F116">
        <v>19</v>
      </c>
      <c r="G116" s="2">
        <f t="shared" si="4"/>
        <v>1493.1942113967357</v>
      </c>
      <c r="H116" s="2">
        <f t="shared" si="5"/>
        <v>202835.50167613255</v>
      </c>
      <c r="I116" s="2">
        <f t="shared" si="6"/>
        <v>119691.50167613255</v>
      </c>
      <c r="J116">
        <v>0</v>
      </c>
    </row>
    <row r="117" spans="1:10">
      <c r="A117" t="s">
        <v>190</v>
      </c>
      <c r="B117" t="s">
        <v>108</v>
      </c>
      <c r="C117" t="s">
        <v>32</v>
      </c>
      <c r="D117">
        <v>386017</v>
      </c>
      <c r="E117">
        <v>14.33</v>
      </c>
      <c r="F117">
        <v>14</v>
      </c>
      <c r="G117" s="2">
        <f t="shared" si="4"/>
        <v>5212.8419502350844</v>
      </c>
      <c r="H117" s="2">
        <f t="shared" si="5"/>
        <v>896400.30176242511</v>
      </c>
      <c r="I117" s="2">
        <f t="shared" si="6"/>
        <v>510383.30176242511</v>
      </c>
      <c r="J117">
        <v>0</v>
      </c>
    </row>
    <row r="118" spans="1:10">
      <c r="A118" t="s">
        <v>191</v>
      </c>
      <c r="B118" t="s">
        <v>192</v>
      </c>
      <c r="C118" t="s">
        <v>32</v>
      </c>
      <c r="D118">
        <v>1356798</v>
      </c>
      <c r="E118">
        <v>11.99</v>
      </c>
      <c r="F118">
        <v>1</v>
      </c>
      <c r="G118" s="2">
        <f t="shared" si="4"/>
        <v>10010.617691955686</v>
      </c>
      <c r="H118" s="2">
        <f t="shared" si="5"/>
        <v>1440327.6735185841</v>
      </c>
      <c r="I118" s="2">
        <f t="shared" si="6"/>
        <v>83529.67351858411</v>
      </c>
      <c r="J118">
        <v>0</v>
      </c>
    </row>
    <row r="119" spans="1:10">
      <c r="A119" t="s">
        <v>193</v>
      </c>
      <c r="B119" t="s">
        <v>170</v>
      </c>
      <c r="C119" t="s">
        <v>14</v>
      </c>
      <c r="D119">
        <v>74095</v>
      </c>
      <c r="E119">
        <v>8.9700000000000006</v>
      </c>
      <c r="F119">
        <v>15</v>
      </c>
      <c r="G119" s="2">
        <f t="shared" si="4"/>
        <v>1256.0013342704635</v>
      </c>
      <c r="H119" s="2">
        <f t="shared" si="5"/>
        <v>135195.98362087272</v>
      </c>
      <c r="I119" s="2">
        <f t="shared" si="6"/>
        <v>61100.983620872721</v>
      </c>
      <c r="J119">
        <v>0</v>
      </c>
    </row>
    <row r="120" spans="1:10">
      <c r="A120" t="s">
        <v>194</v>
      </c>
      <c r="B120" t="s">
        <v>110</v>
      </c>
      <c r="C120" t="s">
        <v>17</v>
      </c>
      <c r="D120">
        <v>1509086</v>
      </c>
      <c r="E120">
        <v>14.37</v>
      </c>
      <c r="F120">
        <v>11</v>
      </c>
      <c r="G120" s="2">
        <f t="shared" si="4"/>
        <v>17451.256346578633</v>
      </c>
      <c r="H120" s="2">
        <f t="shared" si="5"/>
        <v>3009294.6444040192</v>
      </c>
      <c r="I120" s="2">
        <f t="shared" si="6"/>
        <v>1500208.6444040192</v>
      </c>
      <c r="J120">
        <v>0</v>
      </c>
    </row>
    <row r="121" spans="1:10">
      <c r="A121" t="s">
        <v>195</v>
      </c>
      <c r="B121" t="s">
        <v>35</v>
      </c>
      <c r="C121" t="s">
        <v>11</v>
      </c>
      <c r="D121">
        <v>1692282</v>
      </c>
      <c r="E121">
        <v>7.73</v>
      </c>
      <c r="F121">
        <v>9</v>
      </c>
      <c r="G121" s="2">
        <f t="shared" si="4"/>
        <v>25385.323727946528</v>
      </c>
      <c r="H121" s="2">
        <f t="shared" si="5"/>
        <v>2354742.6290043201</v>
      </c>
      <c r="I121" s="2">
        <f t="shared" si="6"/>
        <v>662460.62900432013</v>
      </c>
      <c r="J121">
        <v>0</v>
      </c>
    </row>
    <row r="122" spans="1:10">
      <c r="A122" t="s">
        <v>196</v>
      </c>
      <c r="B122" t="s">
        <v>19</v>
      </c>
      <c r="C122" t="s">
        <v>11</v>
      </c>
      <c r="D122">
        <v>1664099</v>
      </c>
      <c r="E122">
        <v>8.66</v>
      </c>
      <c r="F122">
        <v>14</v>
      </c>
      <c r="G122" s="2">
        <f t="shared" si="4"/>
        <v>27718.252598583262</v>
      </c>
      <c r="H122" s="2">
        <f t="shared" si="5"/>
        <v>2880480.8100447729</v>
      </c>
      <c r="I122" s="2">
        <f t="shared" si="6"/>
        <v>1216381.8100447729</v>
      </c>
      <c r="J122">
        <v>0</v>
      </c>
    </row>
    <row r="123" spans="1:10">
      <c r="A123" t="s">
        <v>197</v>
      </c>
      <c r="B123" t="s">
        <v>143</v>
      </c>
      <c r="C123" t="s">
        <v>17</v>
      </c>
      <c r="D123">
        <v>852744</v>
      </c>
      <c r="E123">
        <v>12.6</v>
      </c>
      <c r="F123">
        <v>15</v>
      </c>
      <c r="G123" s="2">
        <f t="shared" si="4"/>
        <v>12582.571445689238</v>
      </c>
      <c r="H123" s="2">
        <f t="shared" si="5"/>
        <v>1902484.8025882128</v>
      </c>
      <c r="I123" s="2">
        <f t="shared" si="6"/>
        <v>1049740.8025882128</v>
      </c>
      <c r="J123">
        <v>0</v>
      </c>
    </row>
    <row r="124" spans="1:10">
      <c r="A124" t="s">
        <v>198</v>
      </c>
      <c r="B124" t="s">
        <v>199</v>
      </c>
      <c r="C124" t="s">
        <v>11</v>
      </c>
      <c r="D124">
        <v>1219770</v>
      </c>
      <c r="E124">
        <v>14.75</v>
      </c>
      <c r="F124">
        <v>11</v>
      </c>
      <c r="G124" s="2">
        <f t="shared" si="4"/>
        <v>13956.800814959202</v>
      </c>
      <c r="H124" s="2">
        <f t="shared" si="5"/>
        <v>2470353.7442477788</v>
      </c>
      <c r="I124" s="2">
        <f t="shared" si="6"/>
        <v>1250583.7442477788</v>
      </c>
      <c r="J124">
        <v>0</v>
      </c>
    </row>
    <row r="125" spans="1:10">
      <c r="A125" t="s">
        <v>200</v>
      </c>
      <c r="B125" t="s">
        <v>201</v>
      </c>
      <c r="C125" t="s">
        <v>14</v>
      </c>
      <c r="D125">
        <v>608405</v>
      </c>
      <c r="E125">
        <v>13.2</v>
      </c>
      <c r="F125">
        <v>20</v>
      </c>
      <c r="G125" s="2">
        <f t="shared" si="4"/>
        <v>10937.78713577587</v>
      </c>
      <c r="H125" s="2">
        <f t="shared" si="5"/>
        <v>1732545.4823068979</v>
      </c>
      <c r="I125" s="2">
        <f t="shared" si="6"/>
        <v>1124140.4823068979</v>
      </c>
      <c r="J125">
        <v>1</v>
      </c>
    </row>
    <row r="126" spans="1:10">
      <c r="A126" t="s">
        <v>202</v>
      </c>
      <c r="B126" t="s">
        <v>203</v>
      </c>
      <c r="C126" t="s">
        <v>14</v>
      </c>
      <c r="D126">
        <v>286364</v>
      </c>
      <c r="E126">
        <v>12.15</v>
      </c>
      <c r="F126">
        <v>20</v>
      </c>
      <c r="G126" s="2">
        <f t="shared" si="4"/>
        <v>5243.7119480946694</v>
      </c>
      <c r="H126" s="2">
        <f t="shared" si="5"/>
        <v>764533.20203220285</v>
      </c>
      <c r="I126" s="2">
        <f t="shared" si="6"/>
        <v>478169.20203220285</v>
      </c>
      <c r="J126">
        <v>0</v>
      </c>
    </row>
    <row r="127" spans="1:10">
      <c r="A127" t="s">
        <v>204</v>
      </c>
      <c r="B127" t="s">
        <v>205</v>
      </c>
      <c r="C127" t="s">
        <v>32</v>
      </c>
      <c r="D127">
        <v>1667602</v>
      </c>
      <c r="E127">
        <v>13.43</v>
      </c>
      <c r="F127">
        <v>3</v>
      </c>
      <c r="G127" s="2">
        <f t="shared" si="4"/>
        <v>12584.34849215583</v>
      </c>
      <c r="H127" s="2">
        <f t="shared" si="5"/>
        <v>2028093.6029958334</v>
      </c>
      <c r="I127" s="2">
        <f t="shared" si="6"/>
        <v>360491.60299583338</v>
      </c>
      <c r="J127">
        <v>0</v>
      </c>
    </row>
    <row r="128" spans="1:10">
      <c r="A128" t="s">
        <v>206</v>
      </c>
      <c r="B128" t="s">
        <v>175</v>
      </c>
      <c r="C128" t="s">
        <v>14</v>
      </c>
      <c r="D128">
        <v>1984155</v>
      </c>
      <c r="E128">
        <v>7.39</v>
      </c>
      <c r="F128">
        <v>17</v>
      </c>
      <c r="G128" s="2">
        <f t="shared" si="4"/>
        <v>39435.894160808471</v>
      </c>
      <c r="H128" s="2">
        <f t="shared" si="5"/>
        <v>3497175.0941804955</v>
      </c>
      <c r="I128" s="2">
        <f t="shared" si="6"/>
        <v>1513020.0941804955</v>
      </c>
      <c r="J128">
        <v>0</v>
      </c>
    </row>
    <row r="129" spans="1:10">
      <c r="A129" t="s">
        <v>207</v>
      </c>
      <c r="B129" t="s">
        <v>27</v>
      </c>
      <c r="C129" t="s">
        <v>11</v>
      </c>
      <c r="D129">
        <v>1006542</v>
      </c>
      <c r="E129">
        <v>8.33</v>
      </c>
      <c r="F129">
        <v>14</v>
      </c>
      <c r="G129" s="2">
        <f t="shared" si="4"/>
        <v>17109.55047617665</v>
      </c>
      <c r="H129" s="2">
        <f t="shared" si="5"/>
        <v>1710270.6655986179</v>
      </c>
      <c r="I129" s="2">
        <f t="shared" si="6"/>
        <v>703728.66559861787</v>
      </c>
      <c r="J129">
        <v>1</v>
      </c>
    </row>
    <row r="130" spans="1:10">
      <c r="A130" t="s">
        <v>208</v>
      </c>
      <c r="B130" t="s">
        <v>141</v>
      </c>
      <c r="C130" t="s">
        <v>17</v>
      </c>
      <c r="D130">
        <v>422917</v>
      </c>
      <c r="E130">
        <v>8.2100000000000009</v>
      </c>
      <c r="F130">
        <v>18</v>
      </c>
      <c r="G130" s="2">
        <f t="shared" si="4"/>
        <v>8245.6720713264804</v>
      </c>
      <c r="H130" s="2">
        <f t="shared" si="5"/>
        <v>812363.61246708501</v>
      </c>
      <c r="I130" s="2">
        <f t="shared" si="6"/>
        <v>389446.61246708501</v>
      </c>
      <c r="J130">
        <v>0</v>
      </c>
    </row>
    <row r="131" spans="1:10">
      <c r="A131" t="s">
        <v>209</v>
      </c>
      <c r="B131" t="s">
        <v>210</v>
      </c>
      <c r="C131" t="s">
        <v>11</v>
      </c>
      <c r="D131">
        <v>983035</v>
      </c>
      <c r="E131">
        <v>11.57</v>
      </c>
      <c r="F131">
        <v>10</v>
      </c>
      <c r="G131" s="2">
        <f t="shared" ref="G131:G194" si="7">PMT(F131/12/100, E131*12, -D131)</f>
        <v>11975.481158477047</v>
      </c>
      <c r="H131" s="2">
        <f t="shared" ref="H131:H194" si="8">G131*E131*12</f>
        <v>1662675.8040429531</v>
      </c>
      <c r="I131" s="2">
        <f t="shared" ref="I131:I194" si="9">H131-D131</f>
        <v>679640.80404295307</v>
      </c>
      <c r="J131">
        <v>1</v>
      </c>
    </row>
    <row r="132" spans="1:10">
      <c r="A132" t="s">
        <v>211</v>
      </c>
      <c r="B132" t="s">
        <v>69</v>
      </c>
      <c r="C132" t="s">
        <v>14</v>
      </c>
      <c r="D132">
        <v>468303</v>
      </c>
      <c r="E132">
        <v>14.93</v>
      </c>
      <c r="F132">
        <v>19</v>
      </c>
      <c r="G132" s="2">
        <f t="shared" si="7"/>
        <v>7887.5458712682739</v>
      </c>
      <c r="H132" s="2">
        <f t="shared" si="8"/>
        <v>1413132.718296424</v>
      </c>
      <c r="I132" s="2">
        <f t="shared" si="9"/>
        <v>944829.71829642402</v>
      </c>
      <c r="J132">
        <v>0</v>
      </c>
    </row>
    <row r="133" spans="1:10">
      <c r="A133" t="s">
        <v>212</v>
      </c>
      <c r="B133" t="s">
        <v>105</v>
      </c>
      <c r="C133" t="s">
        <v>17</v>
      </c>
      <c r="D133">
        <v>1110641</v>
      </c>
      <c r="E133">
        <v>8.85</v>
      </c>
      <c r="F133">
        <v>9</v>
      </c>
      <c r="G133" s="2">
        <f t="shared" si="7"/>
        <v>15207.218092995405</v>
      </c>
      <c r="H133" s="2">
        <f t="shared" si="8"/>
        <v>1615006.5614761119</v>
      </c>
      <c r="I133" s="2">
        <f t="shared" si="9"/>
        <v>504365.56147611188</v>
      </c>
      <c r="J133">
        <v>1</v>
      </c>
    </row>
    <row r="134" spans="1:10">
      <c r="A134" t="s">
        <v>213</v>
      </c>
      <c r="B134" t="s">
        <v>27</v>
      </c>
      <c r="C134" t="s">
        <v>14</v>
      </c>
      <c r="D134">
        <v>1657787</v>
      </c>
      <c r="E134">
        <v>11.42</v>
      </c>
      <c r="F134">
        <v>1</v>
      </c>
      <c r="G134" s="2">
        <f t="shared" si="7"/>
        <v>12806.026222500961</v>
      </c>
      <c r="H134" s="2">
        <f t="shared" si="8"/>
        <v>1754937.8335315317</v>
      </c>
      <c r="I134" s="2">
        <f t="shared" si="9"/>
        <v>97150.833531531738</v>
      </c>
      <c r="J134">
        <v>0</v>
      </c>
    </row>
    <row r="135" spans="1:10">
      <c r="A135" t="s">
        <v>214</v>
      </c>
      <c r="B135" t="s">
        <v>215</v>
      </c>
      <c r="C135" t="s">
        <v>32</v>
      </c>
      <c r="D135">
        <v>1874417</v>
      </c>
      <c r="E135">
        <v>7.35</v>
      </c>
      <c r="F135">
        <v>15</v>
      </c>
      <c r="G135" s="2">
        <f t="shared" si="7"/>
        <v>35197.241167415312</v>
      </c>
      <c r="H135" s="2">
        <f t="shared" si="8"/>
        <v>3104396.6709660306</v>
      </c>
      <c r="I135" s="2">
        <f t="shared" si="9"/>
        <v>1229979.6709660306</v>
      </c>
      <c r="J135">
        <v>0</v>
      </c>
    </row>
    <row r="136" spans="1:10">
      <c r="A136" t="s">
        <v>216</v>
      </c>
      <c r="B136" t="s">
        <v>73</v>
      </c>
      <c r="C136" t="s">
        <v>32</v>
      </c>
      <c r="D136">
        <v>791009</v>
      </c>
      <c r="E136">
        <v>12.46</v>
      </c>
      <c r="F136">
        <v>8</v>
      </c>
      <c r="G136" s="2">
        <f t="shared" si="7"/>
        <v>8374.2060604583894</v>
      </c>
      <c r="H136" s="2">
        <f t="shared" si="8"/>
        <v>1252111.2901597384</v>
      </c>
      <c r="I136" s="2">
        <f t="shared" si="9"/>
        <v>461102.29015973839</v>
      </c>
      <c r="J136">
        <v>0</v>
      </c>
    </row>
    <row r="137" spans="1:10">
      <c r="A137" t="s">
        <v>217</v>
      </c>
      <c r="B137" t="s">
        <v>21</v>
      </c>
      <c r="C137" t="s">
        <v>11</v>
      </c>
      <c r="D137">
        <v>1355813</v>
      </c>
      <c r="E137">
        <v>9.4700000000000006</v>
      </c>
      <c r="F137">
        <v>20</v>
      </c>
      <c r="G137" s="2">
        <f t="shared" si="7"/>
        <v>26673.563969311635</v>
      </c>
      <c r="H137" s="2">
        <f t="shared" si="8"/>
        <v>3031183.8094725744</v>
      </c>
      <c r="I137" s="2">
        <f t="shared" si="9"/>
        <v>1675370.8094725744</v>
      </c>
      <c r="J137">
        <v>0</v>
      </c>
    </row>
    <row r="138" spans="1:10">
      <c r="A138" t="s">
        <v>218</v>
      </c>
      <c r="B138" t="s">
        <v>110</v>
      </c>
      <c r="C138" t="s">
        <v>17</v>
      </c>
      <c r="D138">
        <v>1835497</v>
      </c>
      <c r="E138">
        <v>9.36</v>
      </c>
      <c r="F138">
        <v>17</v>
      </c>
      <c r="G138" s="2">
        <f t="shared" si="7"/>
        <v>32747.893104465045</v>
      </c>
      <c r="H138" s="2">
        <f t="shared" si="8"/>
        <v>3678243.3534935135</v>
      </c>
      <c r="I138" s="2">
        <f t="shared" si="9"/>
        <v>1842746.3534935135</v>
      </c>
      <c r="J138">
        <v>1</v>
      </c>
    </row>
    <row r="139" spans="1:10">
      <c r="A139" t="s">
        <v>219</v>
      </c>
      <c r="B139" t="s">
        <v>220</v>
      </c>
      <c r="C139" t="s">
        <v>11</v>
      </c>
      <c r="D139">
        <v>1744071</v>
      </c>
      <c r="E139">
        <v>8.82</v>
      </c>
      <c r="F139">
        <v>2</v>
      </c>
      <c r="G139" s="2">
        <f t="shared" si="7"/>
        <v>17988.165764326266</v>
      </c>
      <c r="H139" s="2">
        <f t="shared" si="8"/>
        <v>1903867.4644962922</v>
      </c>
      <c r="I139" s="2">
        <f t="shared" si="9"/>
        <v>159796.46449629217</v>
      </c>
      <c r="J139">
        <v>1</v>
      </c>
    </row>
    <row r="140" spans="1:10">
      <c r="A140" t="s">
        <v>221</v>
      </c>
      <c r="B140" t="s">
        <v>175</v>
      </c>
      <c r="C140" t="s">
        <v>17</v>
      </c>
      <c r="D140">
        <v>1307194</v>
      </c>
      <c r="E140">
        <v>11.69</v>
      </c>
      <c r="F140">
        <v>2</v>
      </c>
      <c r="G140" s="2">
        <f t="shared" si="7"/>
        <v>10457.928273372967</v>
      </c>
      <c r="H140" s="2">
        <f t="shared" si="8"/>
        <v>1467038.1781887596</v>
      </c>
      <c r="I140" s="2">
        <f t="shared" si="9"/>
        <v>159844.1781887596</v>
      </c>
      <c r="J140">
        <v>0</v>
      </c>
    </row>
    <row r="141" spans="1:10">
      <c r="A141" t="s">
        <v>222</v>
      </c>
      <c r="B141" t="s">
        <v>35</v>
      </c>
      <c r="C141" t="s">
        <v>14</v>
      </c>
      <c r="D141">
        <v>1742833</v>
      </c>
      <c r="E141">
        <v>13.79</v>
      </c>
      <c r="F141">
        <v>17</v>
      </c>
      <c r="G141" s="2">
        <f t="shared" si="7"/>
        <v>27357.646553885625</v>
      </c>
      <c r="H141" s="2">
        <f t="shared" si="8"/>
        <v>4527143.3517369926</v>
      </c>
      <c r="I141" s="2">
        <f t="shared" si="9"/>
        <v>2784310.3517369926</v>
      </c>
      <c r="J141">
        <v>1</v>
      </c>
    </row>
    <row r="142" spans="1:10">
      <c r="A142" t="s">
        <v>223</v>
      </c>
      <c r="B142" t="s">
        <v>80</v>
      </c>
      <c r="C142" t="s">
        <v>17</v>
      </c>
      <c r="D142">
        <v>1657429</v>
      </c>
      <c r="E142">
        <v>8.4700000000000006</v>
      </c>
      <c r="F142">
        <v>19</v>
      </c>
      <c r="G142" s="2">
        <f t="shared" si="7"/>
        <v>32908.811534963272</v>
      </c>
      <c r="H142" s="2">
        <f t="shared" si="8"/>
        <v>3344851.6044136677</v>
      </c>
      <c r="I142" s="2">
        <f t="shared" si="9"/>
        <v>1687422.6044136677</v>
      </c>
      <c r="J142">
        <v>0</v>
      </c>
    </row>
    <row r="143" spans="1:10">
      <c r="A143" t="s">
        <v>224</v>
      </c>
      <c r="B143" t="s">
        <v>25</v>
      </c>
      <c r="C143" t="s">
        <v>32</v>
      </c>
      <c r="D143">
        <v>1015690</v>
      </c>
      <c r="E143">
        <v>11.34</v>
      </c>
      <c r="F143">
        <v>14</v>
      </c>
      <c r="G143" s="2">
        <f t="shared" si="7"/>
        <v>14929.769564560582</v>
      </c>
      <c r="H143" s="2">
        <f t="shared" si="8"/>
        <v>2031643.0423454039</v>
      </c>
      <c r="I143" s="2">
        <f t="shared" si="9"/>
        <v>1015953.0423454039</v>
      </c>
      <c r="J143">
        <v>0</v>
      </c>
    </row>
    <row r="144" spans="1:10">
      <c r="A144" t="s">
        <v>225</v>
      </c>
      <c r="B144" t="s">
        <v>139</v>
      </c>
      <c r="C144" t="s">
        <v>14</v>
      </c>
      <c r="D144">
        <v>935247</v>
      </c>
      <c r="E144">
        <v>8.75</v>
      </c>
      <c r="F144">
        <v>10</v>
      </c>
      <c r="G144" s="2">
        <f t="shared" si="7"/>
        <v>13399.941253238216</v>
      </c>
      <c r="H144" s="2">
        <f t="shared" si="8"/>
        <v>1406993.8315900126</v>
      </c>
      <c r="I144" s="2">
        <f t="shared" si="9"/>
        <v>471746.83159001265</v>
      </c>
      <c r="J144">
        <v>0</v>
      </c>
    </row>
    <row r="145" spans="1:10">
      <c r="A145" t="s">
        <v>226</v>
      </c>
      <c r="B145" t="s">
        <v>227</v>
      </c>
      <c r="C145" t="s">
        <v>32</v>
      </c>
      <c r="D145">
        <v>654087</v>
      </c>
      <c r="E145">
        <v>7.12</v>
      </c>
      <c r="F145">
        <v>15</v>
      </c>
      <c r="G145" s="2">
        <f t="shared" si="7"/>
        <v>12501.242187856795</v>
      </c>
      <c r="H145" s="2">
        <f t="shared" si="8"/>
        <v>1068106.1325304846</v>
      </c>
      <c r="I145" s="2">
        <f t="shared" si="9"/>
        <v>414019.13253048458</v>
      </c>
      <c r="J145">
        <v>0</v>
      </c>
    </row>
    <row r="146" spans="1:10">
      <c r="A146" t="s">
        <v>228</v>
      </c>
      <c r="B146" t="s">
        <v>129</v>
      </c>
      <c r="C146" t="s">
        <v>11</v>
      </c>
      <c r="D146">
        <v>1174038</v>
      </c>
      <c r="E146">
        <v>8.25</v>
      </c>
      <c r="F146">
        <v>20</v>
      </c>
      <c r="G146" s="2">
        <f t="shared" si="7"/>
        <v>24297.529875508495</v>
      </c>
      <c r="H146" s="2">
        <f t="shared" si="8"/>
        <v>2405455.4576753411</v>
      </c>
      <c r="I146" s="2">
        <f t="shared" si="9"/>
        <v>1231417.4576753411</v>
      </c>
      <c r="J146">
        <v>0</v>
      </c>
    </row>
    <row r="147" spans="1:10">
      <c r="A147" t="s">
        <v>229</v>
      </c>
      <c r="B147" t="s">
        <v>230</v>
      </c>
      <c r="C147" t="s">
        <v>17</v>
      </c>
      <c r="D147">
        <v>1075375</v>
      </c>
      <c r="E147">
        <v>12.48</v>
      </c>
      <c r="F147">
        <v>11</v>
      </c>
      <c r="G147" s="2">
        <f t="shared" si="7"/>
        <v>13231.436832321062</v>
      </c>
      <c r="H147" s="2">
        <f t="shared" si="8"/>
        <v>1981539.9800084021</v>
      </c>
      <c r="I147" s="2">
        <f t="shared" si="9"/>
        <v>906164.98000840214</v>
      </c>
      <c r="J147">
        <v>1</v>
      </c>
    </row>
    <row r="148" spans="1:10">
      <c r="A148" t="s">
        <v>231</v>
      </c>
      <c r="B148" t="s">
        <v>19</v>
      </c>
      <c r="C148" t="s">
        <v>14</v>
      </c>
      <c r="D148">
        <v>121168</v>
      </c>
      <c r="E148">
        <v>12.65</v>
      </c>
      <c r="F148">
        <v>3</v>
      </c>
      <c r="G148" s="2">
        <f t="shared" si="7"/>
        <v>960.21057295171715</v>
      </c>
      <c r="H148" s="2">
        <f t="shared" si="8"/>
        <v>145759.96497407067</v>
      </c>
      <c r="I148" s="2">
        <f t="shared" si="9"/>
        <v>24591.964974070666</v>
      </c>
      <c r="J148">
        <v>0</v>
      </c>
    </row>
    <row r="149" spans="1:10">
      <c r="A149" t="s">
        <v>232</v>
      </c>
      <c r="B149" t="s">
        <v>233</v>
      </c>
      <c r="C149" t="s">
        <v>17</v>
      </c>
      <c r="D149">
        <v>189255</v>
      </c>
      <c r="E149">
        <v>9.9600000000000009</v>
      </c>
      <c r="F149">
        <v>14</v>
      </c>
      <c r="G149" s="2">
        <f t="shared" si="7"/>
        <v>2943.9329544270599</v>
      </c>
      <c r="H149" s="2">
        <f t="shared" si="8"/>
        <v>351858.86671312223</v>
      </c>
      <c r="I149" s="2">
        <f t="shared" si="9"/>
        <v>162603.86671312223</v>
      </c>
      <c r="J149">
        <v>0</v>
      </c>
    </row>
    <row r="150" spans="1:10">
      <c r="A150" t="s">
        <v>234</v>
      </c>
      <c r="B150" t="s">
        <v>21</v>
      </c>
      <c r="C150" t="s">
        <v>11</v>
      </c>
      <c r="D150">
        <v>526236</v>
      </c>
      <c r="E150">
        <v>14.24</v>
      </c>
      <c r="F150">
        <v>3</v>
      </c>
      <c r="G150" s="2">
        <f t="shared" si="7"/>
        <v>3787.8427068755823</v>
      </c>
      <c r="H150" s="2">
        <f t="shared" si="8"/>
        <v>647266.56175089953</v>
      </c>
      <c r="I150" s="2">
        <f t="shared" si="9"/>
        <v>121030.56175089953</v>
      </c>
      <c r="J150">
        <v>0</v>
      </c>
    </row>
    <row r="151" spans="1:10">
      <c r="A151" t="s">
        <v>235</v>
      </c>
      <c r="B151" t="s">
        <v>13</v>
      </c>
      <c r="C151" t="s">
        <v>32</v>
      </c>
      <c r="D151">
        <v>1277918</v>
      </c>
      <c r="E151">
        <v>7.51</v>
      </c>
      <c r="F151">
        <v>4</v>
      </c>
      <c r="G151" s="2">
        <f t="shared" si="7"/>
        <v>16439.964428035099</v>
      </c>
      <c r="H151" s="2">
        <f t="shared" si="8"/>
        <v>1481569.5942545231</v>
      </c>
      <c r="I151" s="2">
        <f t="shared" si="9"/>
        <v>203651.59425452305</v>
      </c>
      <c r="J151">
        <v>0</v>
      </c>
    </row>
    <row r="152" spans="1:10">
      <c r="A152" t="s">
        <v>236</v>
      </c>
      <c r="B152" t="s">
        <v>237</v>
      </c>
      <c r="C152" t="s">
        <v>17</v>
      </c>
      <c r="D152">
        <v>661187</v>
      </c>
      <c r="E152">
        <v>10.75</v>
      </c>
      <c r="F152">
        <v>5</v>
      </c>
      <c r="G152" s="2">
        <f t="shared" si="7"/>
        <v>6636.1800028711596</v>
      </c>
      <c r="H152" s="2">
        <f t="shared" si="8"/>
        <v>856067.22037037951</v>
      </c>
      <c r="I152" s="2">
        <f t="shared" si="9"/>
        <v>194880.22037037951</v>
      </c>
      <c r="J152">
        <v>1</v>
      </c>
    </row>
    <row r="153" spans="1:10">
      <c r="A153" t="s">
        <v>238</v>
      </c>
      <c r="B153" t="s">
        <v>69</v>
      </c>
      <c r="C153" t="s">
        <v>11</v>
      </c>
      <c r="D153">
        <v>106407</v>
      </c>
      <c r="E153">
        <v>8.2200000000000006</v>
      </c>
      <c r="F153">
        <v>4</v>
      </c>
      <c r="G153" s="2">
        <f t="shared" si="7"/>
        <v>1267.5677453529925</v>
      </c>
      <c r="H153" s="2">
        <f t="shared" si="8"/>
        <v>125032.88240161919</v>
      </c>
      <c r="I153" s="2">
        <f t="shared" si="9"/>
        <v>18625.882401619194</v>
      </c>
      <c r="J153">
        <v>0</v>
      </c>
    </row>
    <row r="154" spans="1:10">
      <c r="A154" t="s">
        <v>239</v>
      </c>
      <c r="B154" t="s">
        <v>63</v>
      </c>
      <c r="C154" t="s">
        <v>11</v>
      </c>
      <c r="D154">
        <v>1314440</v>
      </c>
      <c r="E154">
        <v>10.85</v>
      </c>
      <c r="F154">
        <v>14</v>
      </c>
      <c r="G154" s="2">
        <f t="shared" si="7"/>
        <v>19682.232912943251</v>
      </c>
      <c r="H154" s="2">
        <f t="shared" si="8"/>
        <v>2562626.725265211</v>
      </c>
      <c r="I154" s="2">
        <f t="shared" si="9"/>
        <v>1248186.725265211</v>
      </c>
      <c r="J154">
        <v>0</v>
      </c>
    </row>
    <row r="155" spans="1:10">
      <c r="A155" t="s">
        <v>240</v>
      </c>
      <c r="B155" t="s">
        <v>84</v>
      </c>
      <c r="C155" t="s">
        <v>17</v>
      </c>
      <c r="D155">
        <v>727108</v>
      </c>
      <c r="E155">
        <v>9.36</v>
      </c>
      <c r="F155">
        <v>11</v>
      </c>
      <c r="G155" s="2">
        <f t="shared" si="7"/>
        <v>10395.28533547999</v>
      </c>
      <c r="H155" s="2">
        <f t="shared" si="8"/>
        <v>1167598.4488811123</v>
      </c>
      <c r="I155" s="2">
        <f t="shared" si="9"/>
        <v>440490.44888111227</v>
      </c>
      <c r="J155">
        <v>0</v>
      </c>
    </row>
    <row r="156" spans="1:10">
      <c r="A156" t="s">
        <v>241</v>
      </c>
      <c r="B156" t="s">
        <v>199</v>
      </c>
      <c r="C156" t="s">
        <v>11</v>
      </c>
      <c r="D156">
        <v>1312632</v>
      </c>
      <c r="E156">
        <v>9.7100000000000009</v>
      </c>
      <c r="F156">
        <v>2</v>
      </c>
      <c r="G156" s="2">
        <f t="shared" si="7"/>
        <v>12403.891603274416</v>
      </c>
      <c r="H156" s="2">
        <f t="shared" si="8"/>
        <v>1445301.4496135351</v>
      </c>
      <c r="I156" s="2">
        <f t="shared" si="9"/>
        <v>132669.44961353508</v>
      </c>
      <c r="J156">
        <v>0</v>
      </c>
    </row>
    <row r="157" spans="1:10">
      <c r="A157" t="s">
        <v>242</v>
      </c>
      <c r="B157" t="s">
        <v>91</v>
      </c>
      <c r="C157" t="s">
        <v>17</v>
      </c>
      <c r="D157">
        <v>838328</v>
      </c>
      <c r="E157">
        <v>9.64</v>
      </c>
      <c r="F157">
        <v>12</v>
      </c>
      <c r="G157" s="2">
        <f t="shared" si="7"/>
        <v>12261.691240830827</v>
      </c>
      <c r="H157" s="2">
        <f t="shared" si="8"/>
        <v>1418432.4427393102</v>
      </c>
      <c r="I157" s="2">
        <f t="shared" si="9"/>
        <v>580104.44273931021</v>
      </c>
      <c r="J157">
        <v>0</v>
      </c>
    </row>
    <row r="158" spans="1:10">
      <c r="A158" t="s">
        <v>243</v>
      </c>
      <c r="B158" t="s">
        <v>129</v>
      </c>
      <c r="C158" t="s">
        <v>11</v>
      </c>
      <c r="D158">
        <v>1056177</v>
      </c>
      <c r="E158">
        <v>7.43</v>
      </c>
      <c r="F158">
        <v>6</v>
      </c>
      <c r="G158" s="2">
        <f t="shared" si="7"/>
        <v>14710.947998389569</v>
      </c>
      <c r="H158" s="2">
        <f t="shared" si="8"/>
        <v>1311628.123536414</v>
      </c>
      <c r="I158" s="2">
        <f t="shared" si="9"/>
        <v>255451.123536414</v>
      </c>
      <c r="J158">
        <v>0</v>
      </c>
    </row>
    <row r="159" spans="1:10">
      <c r="A159" t="s">
        <v>244</v>
      </c>
      <c r="B159" t="s">
        <v>155</v>
      </c>
      <c r="C159" t="s">
        <v>11</v>
      </c>
      <c r="D159">
        <v>1782786</v>
      </c>
      <c r="E159">
        <v>9.06</v>
      </c>
      <c r="F159">
        <v>7</v>
      </c>
      <c r="G159" s="2">
        <f t="shared" si="7"/>
        <v>22189.934880816247</v>
      </c>
      <c r="H159" s="2">
        <f t="shared" si="8"/>
        <v>2412489.7202423424</v>
      </c>
      <c r="I159" s="2">
        <f t="shared" si="9"/>
        <v>629703.72024234245</v>
      </c>
      <c r="J159">
        <v>0</v>
      </c>
    </row>
    <row r="160" spans="1:10">
      <c r="A160" t="s">
        <v>245</v>
      </c>
      <c r="B160" t="s">
        <v>105</v>
      </c>
      <c r="C160" t="s">
        <v>11</v>
      </c>
      <c r="D160">
        <v>607709</v>
      </c>
      <c r="E160">
        <v>13.89</v>
      </c>
      <c r="F160">
        <v>2</v>
      </c>
      <c r="G160" s="2">
        <f t="shared" si="7"/>
        <v>4178.8218413179393</v>
      </c>
      <c r="H160" s="2">
        <f t="shared" si="8"/>
        <v>696526.02451087418</v>
      </c>
      <c r="I160" s="2">
        <f t="shared" si="9"/>
        <v>88817.02451087418</v>
      </c>
      <c r="J160">
        <v>0</v>
      </c>
    </row>
    <row r="161" spans="1:10">
      <c r="A161" t="s">
        <v>246</v>
      </c>
      <c r="B161" t="s">
        <v>233</v>
      </c>
      <c r="C161" t="s">
        <v>17</v>
      </c>
      <c r="D161">
        <v>254473</v>
      </c>
      <c r="E161">
        <v>11.61</v>
      </c>
      <c r="F161">
        <v>20</v>
      </c>
      <c r="G161" s="2">
        <f t="shared" si="7"/>
        <v>4712.3178149784517</v>
      </c>
      <c r="H161" s="2">
        <f t="shared" si="8"/>
        <v>656520.11798279779</v>
      </c>
      <c r="I161" s="2">
        <f t="shared" si="9"/>
        <v>402047.11798279779</v>
      </c>
      <c r="J161">
        <v>0</v>
      </c>
    </row>
    <row r="162" spans="1:10">
      <c r="A162" t="s">
        <v>247</v>
      </c>
      <c r="B162" t="s">
        <v>248</v>
      </c>
      <c r="C162" t="s">
        <v>32</v>
      </c>
      <c r="D162">
        <v>753651</v>
      </c>
      <c r="E162">
        <v>7.11</v>
      </c>
      <c r="F162">
        <v>9</v>
      </c>
      <c r="G162" s="2">
        <f t="shared" si="7"/>
        <v>11990.776488558342</v>
      </c>
      <c r="H162" s="2">
        <f t="shared" si="8"/>
        <v>1023053.0500037977</v>
      </c>
      <c r="I162" s="2">
        <f t="shared" si="9"/>
        <v>269402.05000379775</v>
      </c>
      <c r="J162">
        <v>0</v>
      </c>
    </row>
    <row r="163" spans="1:10">
      <c r="A163" t="s">
        <v>249</v>
      </c>
      <c r="B163" t="s">
        <v>35</v>
      </c>
      <c r="C163" t="s">
        <v>11</v>
      </c>
      <c r="D163">
        <v>1145241</v>
      </c>
      <c r="E163">
        <v>14.09</v>
      </c>
      <c r="F163">
        <v>6</v>
      </c>
      <c r="G163" s="2">
        <f t="shared" si="7"/>
        <v>10051.105313480188</v>
      </c>
      <c r="H163" s="2">
        <f t="shared" si="8"/>
        <v>1699440.8864032303</v>
      </c>
      <c r="I163" s="2">
        <f t="shared" si="9"/>
        <v>554199.88640323025</v>
      </c>
      <c r="J163">
        <v>0</v>
      </c>
    </row>
    <row r="164" spans="1:10">
      <c r="A164" t="s">
        <v>250</v>
      </c>
      <c r="B164" t="s">
        <v>16</v>
      </c>
      <c r="C164" t="s">
        <v>32</v>
      </c>
      <c r="D164">
        <v>523436</v>
      </c>
      <c r="E164">
        <v>7.42</v>
      </c>
      <c r="F164">
        <v>7</v>
      </c>
      <c r="G164" s="2">
        <f t="shared" si="7"/>
        <v>7553.6701003473327</v>
      </c>
      <c r="H164" s="2">
        <f t="shared" si="8"/>
        <v>672578.78573492658</v>
      </c>
      <c r="I164" s="2">
        <f t="shared" si="9"/>
        <v>149142.78573492658</v>
      </c>
      <c r="J164">
        <v>0</v>
      </c>
    </row>
    <row r="165" spans="1:10">
      <c r="A165" t="s">
        <v>251</v>
      </c>
      <c r="B165" t="s">
        <v>52</v>
      </c>
      <c r="C165" t="s">
        <v>32</v>
      </c>
      <c r="D165">
        <v>476897</v>
      </c>
      <c r="E165">
        <v>11.61</v>
      </c>
      <c r="F165">
        <v>17</v>
      </c>
      <c r="G165" s="2">
        <f t="shared" si="7"/>
        <v>7863.903762254894</v>
      </c>
      <c r="H165" s="2">
        <f t="shared" si="8"/>
        <v>1095599.0721573518</v>
      </c>
      <c r="I165" s="2">
        <f t="shared" si="9"/>
        <v>618702.07215735177</v>
      </c>
      <c r="J165">
        <v>1</v>
      </c>
    </row>
    <row r="166" spans="1:10">
      <c r="A166" t="s">
        <v>252</v>
      </c>
      <c r="B166" t="s">
        <v>43</v>
      </c>
      <c r="C166" t="s">
        <v>32</v>
      </c>
      <c r="D166">
        <v>1783789</v>
      </c>
      <c r="E166">
        <v>11.65</v>
      </c>
      <c r="F166">
        <v>4</v>
      </c>
      <c r="G166" s="2">
        <f t="shared" si="7"/>
        <v>15983.50412680175</v>
      </c>
      <c r="H166" s="2">
        <f t="shared" si="8"/>
        <v>2234493.876926885</v>
      </c>
      <c r="I166" s="2">
        <f t="shared" si="9"/>
        <v>450704.87692688499</v>
      </c>
      <c r="J166">
        <v>0</v>
      </c>
    </row>
    <row r="167" spans="1:10">
      <c r="A167" t="s">
        <v>253</v>
      </c>
      <c r="B167" t="s">
        <v>55</v>
      </c>
      <c r="C167" t="s">
        <v>14</v>
      </c>
      <c r="D167">
        <v>908320</v>
      </c>
      <c r="E167">
        <v>14.07</v>
      </c>
      <c r="F167">
        <v>6</v>
      </c>
      <c r="G167" s="2">
        <f t="shared" si="7"/>
        <v>7979.0073069278305</v>
      </c>
      <c r="H167" s="2">
        <f t="shared" si="8"/>
        <v>1347175.5937016949</v>
      </c>
      <c r="I167" s="2">
        <f t="shared" si="9"/>
        <v>438855.59370169486</v>
      </c>
      <c r="J167">
        <v>0</v>
      </c>
    </row>
    <row r="168" spans="1:10">
      <c r="A168" t="s">
        <v>254</v>
      </c>
      <c r="B168" t="s">
        <v>82</v>
      </c>
      <c r="C168" t="s">
        <v>32</v>
      </c>
      <c r="D168">
        <v>1587179</v>
      </c>
      <c r="E168">
        <v>11.06</v>
      </c>
      <c r="F168">
        <v>17</v>
      </c>
      <c r="G168" s="2">
        <f t="shared" si="7"/>
        <v>26596.471020356534</v>
      </c>
      <c r="H168" s="2">
        <f t="shared" si="8"/>
        <v>3529883.6338217193</v>
      </c>
      <c r="I168" s="2">
        <f t="shared" si="9"/>
        <v>1942704.6338217193</v>
      </c>
      <c r="J168">
        <v>0</v>
      </c>
    </row>
    <row r="169" spans="1:10">
      <c r="A169" t="s">
        <v>255</v>
      </c>
      <c r="B169" t="s">
        <v>55</v>
      </c>
      <c r="C169" t="s">
        <v>11</v>
      </c>
      <c r="D169">
        <v>847465</v>
      </c>
      <c r="E169">
        <v>7.65</v>
      </c>
      <c r="F169">
        <v>11</v>
      </c>
      <c r="G169" s="2">
        <f t="shared" si="7"/>
        <v>13694.148549669519</v>
      </c>
      <c r="H169" s="2">
        <f t="shared" si="8"/>
        <v>1257122.8368596619</v>
      </c>
      <c r="I169" s="2">
        <f t="shared" si="9"/>
        <v>409657.83685966185</v>
      </c>
      <c r="J169">
        <v>1</v>
      </c>
    </row>
    <row r="170" spans="1:10">
      <c r="A170" t="s">
        <v>256</v>
      </c>
      <c r="B170" t="s">
        <v>126</v>
      </c>
      <c r="C170" t="s">
        <v>11</v>
      </c>
      <c r="D170">
        <v>536416</v>
      </c>
      <c r="E170">
        <v>8.0299999999999994</v>
      </c>
      <c r="F170">
        <v>5</v>
      </c>
      <c r="G170" s="2">
        <f t="shared" si="7"/>
        <v>6770.3413132700489</v>
      </c>
      <c r="H170" s="2">
        <f t="shared" si="8"/>
        <v>652390.08894670184</v>
      </c>
      <c r="I170" s="2">
        <f t="shared" si="9"/>
        <v>115974.08894670184</v>
      </c>
      <c r="J170">
        <v>0</v>
      </c>
    </row>
    <row r="171" spans="1:10">
      <c r="A171" t="s">
        <v>257</v>
      </c>
      <c r="B171" t="s">
        <v>37</v>
      </c>
      <c r="C171" t="s">
        <v>17</v>
      </c>
      <c r="D171">
        <v>57757</v>
      </c>
      <c r="E171">
        <v>9.4600000000000009</v>
      </c>
      <c r="F171">
        <v>16</v>
      </c>
      <c r="G171" s="2">
        <f t="shared" si="7"/>
        <v>990.25562851617917</v>
      </c>
      <c r="H171" s="2">
        <f t="shared" si="8"/>
        <v>112413.81894915667</v>
      </c>
      <c r="I171" s="2">
        <f t="shared" si="9"/>
        <v>54656.818949156674</v>
      </c>
      <c r="J171">
        <v>0</v>
      </c>
    </row>
    <row r="172" spans="1:10">
      <c r="A172" t="s">
        <v>258</v>
      </c>
      <c r="B172" t="s">
        <v>220</v>
      </c>
      <c r="C172" t="s">
        <v>17</v>
      </c>
      <c r="D172">
        <v>955497</v>
      </c>
      <c r="E172">
        <v>8.58</v>
      </c>
      <c r="F172">
        <v>2</v>
      </c>
      <c r="G172" s="2">
        <f t="shared" si="7"/>
        <v>10106.995389655265</v>
      </c>
      <c r="H172" s="2">
        <f t="shared" si="8"/>
        <v>1040616.2453189061</v>
      </c>
      <c r="I172" s="2">
        <f t="shared" si="9"/>
        <v>85119.245318906149</v>
      </c>
      <c r="J172">
        <v>0</v>
      </c>
    </row>
    <row r="173" spans="1:10">
      <c r="A173" t="s">
        <v>259</v>
      </c>
      <c r="B173" t="s">
        <v>87</v>
      </c>
      <c r="C173" t="s">
        <v>32</v>
      </c>
      <c r="D173">
        <v>524293</v>
      </c>
      <c r="E173">
        <v>10.77</v>
      </c>
      <c r="F173">
        <v>4</v>
      </c>
      <c r="G173" s="2">
        <f t="shared" si="7"/>
        <v>4999.7623567023666</v>
      </c>
      <c r="H173" s="2">
        <f t="shared" si="8"/>
        <v>646169.28698021383</v>
      </c>
      <c r="I173" s="2">
        <f t="shared" si="9"/>
        <v>121876.28698021383</v>
      </c>
      <c r="J173">
        <v>0</v>
      </c>
    </row>
    <row r="174" spans="1:10">
      <c r="A174" t="s">
        <v>260</v>
      </c>
      <c r="B174" t="s">
        <v>69</v>
      </c>
      <c r="C174" t="s">
        <v>17</v>
      </c>
      <c r="D174">
        <v>1133669</v>
      </c>
      <c r="E174">
        <v>9.19</v>
      </c>
      <c r="F174">
        <v>14</v>
      </c>
      <c r="G174" s="2">
        <f t="shared" si="7"/>
        <v>18325.679912702006</v>
      </c>
      <c r="H174" s="2">
        <f t="shared" si="8"/>
        <v>2020955.980772777</v>
      </c>
      <c r="I174" s="2">
        <f t="shared" si="9"/>
        <v>887286.98077277699</v>
      </c>
      <c r="J174">
        <v>0</v>
      </c>
    </row>
    <row r="175" spans="1:10">
      <c r="A175" t="s">
        <v>261</v>
      </c>
      <c r="B175" t="s">
        <v>233</v>
      </c>
      <c r="C175" t="s">
        <v>11</v>
      </c>
      <c r="D175">
        <v>819891</v>
      </c>
      <c r="E175">
        <v>14.96</v>
      </c>
      <c r="F175">
        <v>3</v>
      </c>
      <c r="G175" s="2">
        <f t="shared" si="7"/>
        <v>5674.0082731655857</v>
      </c>
      <c r="H175" s="2">
        <f t="shared" si="8"/>
        <v>1018597.9651986859</v>
      </c>
      <c r="I175" s="2">
        <f t="shared" si="9"/>
        <v>198706.96519868588</v>
      </c>
      <c r="J175">
        <v>0</v>
      </c>
    </row>
    <row r="176" spans="1:10">
      <c r="A176" t="s">
        <v>262</v>
      </c>
      <c r="B176" t="s">
        <v>155</v>
      </c>
      <c r="C176" t="s">
        <v>11</v>
      </c>
      <c r="D176">
        <v>619521</v>
      </c>
      <c r="E176">
        <v>14</v>
      </c>
      <c r="F176">
        <v>10</v>
      </c>
      <c r="G176" s="2">
        <f t="shared" si="7"/>
        <v>6865.5483708128822</v>
      </c>
      <c r="H176" s="2">
        <f t="shared" si="8"/>
        <v>1153412.1262965642</v>
      </c>
      <c r="I176" s="2">
        <f t="shared" si="9"/>
        <v>533891.12629656424</v>
      </c>
      <c r="J176">
        <v>0</v>
      </c>
    </row>
    <row r="177" spans="1:10">
      <c r="A177" t="s">
        <v>263</v>
      </c>
      <c r="B177" t="s">
        <v>264</v>
      </c>
      <c r="C177" t="s">
        <v>14</v>
      </c>
      <c r="D177">
        <v>593101</v>
      </c>
      <c r="E177">
        <v>10.74</v>
      </c>
      <c r="F177">
        <v>9</v>
      </c>
      <c r="G177" s="2">
        <f t="shared" si="7"/>
        <v>7194.8996118033438</v>
      </c>
      <c r="H177" s="2">
        <f t="shared" si="8"/>
        <v>927278.66196921491</v>
      </c>
      <c r="I177" s="2">
        <f t="shared" si="9"/>
        <v>334177.66196921491</v>
      </c>
      <c r="J177">
        <v>0</v>
      </c>
    </row>
    <row r="178" spans="1:10">
      <c r="A178" t="s">
        <v>265</v>
      </c>
      <c r="B178" t="s">
        <v>266</v>
      </c>
      <c r="C178" t="s">
        <v>32</v>
      </c>
      <c r="D178">
        <v>1626201</v>
      </c>
      <c r="E178">
        <v>9.3800000000000008</v>
      </c>
      <c r="F178">
        <v>5</v>
      </c>
      <c r="G178" s="2">
        <f t="shared" si="7"/>
        <v>18128.723714381053</v>
      </c>
      <c r="H178" s="2">
        <f t="shared" si="8"/>
        <v>2040569.1412907315</v>
      </c>
      <c r="I178" s="2">
        <f t="shared" si="9"/>
        <v>414368.1412907315</v>
      </c>
      <c r="J178">
        <v>0</v>
      </c>
    </row>
    <row r="179" spans="1:10">
      <c r="A179" t="s">
        <v>267</v>
      </c>
      <c r="B179" t="s">
        <v>268</v>
      </c>
      <c r="C179" t="s">
        <v>17</v>
      </c>
      <c r="D179">
        <v>776625</v>
      </c>
      <c r="E179">
        <v>10.3</v>
      </c>
      <c r="F179">
        <v>8</v>
      </c>
      <c r="G179" s="2">
        <f t="shared" si="7"/>
        <v>9243.4666560066689</v>
      </c>
      <c r="H179" s="2">
        <f t="shared" si="8"/>
        <v>1142492.4786824244</v>
      </c>
      <c r="I179" s="2">
        <f t="shared" si="9"/>
        <v>365867.47868242441</v>
      </c>
      <c r="J179">
        <v>0</v>
      </c>
    </row>
    <row r="180" spans="1:10">
      <c r="A180" t="s">
        <v>269</v>
      </c>
      <c r="B180" t="s">
        <v>27</v>
      </c>
      <c r="C180" t="s">
        <v>14</v>
      </c>
      <c r="D180">
        <v>1008426</v>
      </c>
      <c r="E180">
        <v>13.61</v>
      </c>
      <c r="F180">
        <v>12</v>
      </c>
      <c r="G180" s="2">
        <f t="shared" si="7"/>
        <v>12556.579430403264</v>
      </c>
      <c r="H180" s="2">
        <f t="shared" si="8"/>
        <v>2050740.5525734611</v>
      </c>
      <c r="I180" s="2">
        <f t="shared" si="9"/>
        <v>1042314.5525734611</v>
      </c>
      <c r="J180">
        <v>0</v>
      </c>
    </row>
    <row r="181" spans="1:10">
      <c r="A181" t="s">
        <v>270</v>
      </c>
      <c r="B181" t="s">
        <v>186</v>
      </c>
      <c r="C181" t="s">
        <v>11</v>
      </c>
      <c r="D181">
        <v>591785</v>
      </c>
      <c r="E181">
        <v>10.88</v>
      </c>
      <c r="F181">
        <v>12</v>
      </c>
      <c r="G181" s="2">
        <f t="shared" si="7"/>
        <v>8137.5558118570052</v>
      </c>
      <c r="H181" s="2">
        <f t="shared" si="8"/>
        <v>1062439.2867960506</v>
      </c>
      <c r="I181" s="2">
        <f t="shared" si="9"/>
        <v>470654.28679605061</v>
      </c>
      <c r="J181">
        <v>0</v>
      </c>
    </row>
    <row r="182" spans="1:10">
      <c r="A182" t="s">
        <v>271</v>
      </c>
      <c r="B182" t="s">
        <v>272</v>
      </c>
      <c r="C182" t="s">
        <v>14</v>
      </c>
      <c r="D182">
        <v>600649</v>
      </c>
      <c r="E182">
        <v>8.9600000000000009</v>
      </c>
      <c r="F182">
        <v>16</v>
      </c>
      <c r="G182" s="2">
        <f t="shared" si="7"/>
        <v>10547.674465285532</v>
      </c>
      <c r="H182" s="2">
        <f t="shared" si="8"/>
        <v>1134085.9585075006</v>
      </c>
      <c r="I182" s="2">
        <f t="shared" si="9"/>
        <v>533436.95850750059</v>
      </c>
      <c r="J182">
        <v>0</v>
      </c>
    </row>
    <row r="183" spans="1:10">
      <c r="A183" t="s">
        <v>273</v>
      </c>
      <c r="B183" t="s">
        <v>162</v>
      </c>
      <c r="C183" t="s">
        <v>11</v>
      </c>
      <c r="D183">
        <v>906329</v>
      </c>
      <c r="E183">
        <v>8.8699999999999992</v>
      </c>
      <c r="F183">
        <v>5</v>
      </c>
      <c r="G183" s="2">
        <f t="shared" si="7"/>
        <v>10559.666988168439</v>
      </c>
      <c r="H183" s="2">
        <f t="shared" si="8"/>
        <v>1123970.9542206484</v>
      </c>
      <c r="I183" s="2">
        <f t="shared" si="9"/>
        <v>217641.95422064839</v>
      </c>
      <c r="J183">
        <v>1</v>
      </c>
    </row>
    <row r="184" spans="1:10">
      <c r="A184" t="s">
        <v>274</v>
      </c>
      <c r="B184" t="s">
        <v>275</v>
      </c>
      <c r="C184" t="s">
        <v>32</v>
      </c>
      <c r="D184">
        <v>1893786</v>
      </c>
      <c r="E184">
        <v>11.96</v>
      </c>
      <c r="F184">
        <v>8</v>
      </c>
      <c r="G184" s="2">
        <f t="shared" si="7"/>
        <v>20540.258345128306</v>
      </c>
      <c r="H184" s="2">
        <f t="shared" si="8"/>
        <v>2947937.8776928149</v>
      </c>
      <c r="I184" s="2">
        <f t="shared" si="9"/>
        <v>1054151.8776928149</v>
      </c>
      <c r="J184">
        <v>0</v>
      </c>
    </row>
    <row r="185" spans="1:10">
      <c r="A185" t="s">
        <v>276</v>
      </c>
      <c r="B185" t="s">
        <v>31</v>
      </c>
      <c r="C185" t="s">
        <v>14</v>
      </c>
      <c r="D185">
        <v>430037</v>
      </c>
      <c r="E185">
        <v>11.47</v>
      </c>
      <c r="F185">
        <v>10</v>
      </c>
      <c r="G185" s="2">
        <f t="shared" si="7"/>
        <v>5263.1041106133125</v>
      </c>
      <c r="H185" s="2">
        <f t="shared" si="8"/>
        <v>724413.64978481643</v>
      </c>
      <c r="I185" s="2">
        <f t="shared" si="9"/>
        <v>294376.64978481643</v>
      </c>
      <c r="J185">
        <v>0</v>
      </c>
    </row>
    <row r="186" spans="1:10">
      <c r="A186" t="s">
        <v>277</v>
      </c>
      <c r="B186" t="s">
        <v>112</v>
      </c>
      <c r="C186" t="s">
        <v>11</v>
      </c>
      <c r="D186">
        <v>605250</v>
      </c>
      <c r="E186">
        <v>9.4700000000000006</v>
      </c>
      <c r="F186">
        <v>15</v>
      </c>
      <c r="G186" s="2">
        <f t="shared" si="7"/>
        <v>10003.864607076554</v>
      </c>
      <c r="H186" s="2">
        <f t="shared" si="8"/>
        <v>1136839.1739481795</v>
      </c>
      <c r="I186" s="2">
        <f t="shared" si="9"/>
        <v>531589.17394817946</v>
      </c>
      <c r="J186">
        <v>0</v>
      </c>
    </row>
    <row r="187" spans="1:10">
      <c r="A187" t="s">
        <v>278</v>
      </c>
      <c r="B187" t="s">
        <v>143</v>
      </c>
      <c r="C187" t="s">
        <v>17</v>
      </c>
      <c r="D187">
        <v>792362</v>
      </c>
      <c r="E187">
        <v>13.56</v>
      </c>
      <c r="F187">
        <v>15</v>
      </c>
      <c r="G187" s="2">
        <f t="shared" si="7"/>
        <v>11416.936604283772</v>
      </c>
      <c r="H187" s="2">
        <f t="shared" si="8"/>
        <v>1857763.9242490553</v>
      </c>
      <c r="I187" s="2">
        <f t="shared" si="9"/>
        <v>1065401.9242490553</v>
      </c>
      <c r="J187">
        <v>1</v>
      </c>
    </row>
    <row r="188" spans="1:10">
      <c r="A188" t="s">
        <v>279</v>
      </c>
      <c r="B188" t="s">
        <v>199</v>
      </c>
      <c r="C188" t="s">
        <v>14</v>
      </c>
      <c r="D188">
        <v>84724</v>
      </c>
      <c r="E188">
        <v>14.81</v>
      </c>
      <c r="F188">
        <v>9</v>
      </c>
      <c r="G188" s="2">
        <f t="shared" si="7"/>
        <v>864.56146579871904</v>
      </c>
      <c r="H188" s="2">
        <f t="shared" si="8"/>
        <v>153649.86370174837</v>
      </c>
      <c r="I188" s="2">
        <f t="shared" si="9"/>
        <v>68925.863701748371</v>
      </c>
      <c r="J188">
        <v>1</v>
      </c>
    </row>
    <row r="189" spans="1:10">
      <c r="A189" t="s">
        <v>280</v>
      </c>
      <c r="B189" t="s">
        <v>112</v>
      </c>
      <c r="C189" t="s">
        <v>32</v>
      </c>
      <c r="D189">
        <v>1606185</v>
      </c>
      <c r="E189">
        <v>7.17</v>
      </c>
      <c r="F189">
        <v>4</v>
      </c>
      <c r="G189" s="2">
        <f t="shared" si="7"/>
        <v>21503.530323717889</v>
      </c>
      <c r="H189" s="2">
        <f t="shared" si="8"/>
        <v>1850163.7490526871</v>
      </c>
      <c r="I189" s="2">
        <f t="shared" si="9"/>
        <v>243978.74905268708</v>
      </c>
      <c r="J189">
        <v>0</v>
      </c>
    </row>
    <row r="190" spans="1:10">
      <c r="A190" t="s">
        <v>281</v>
      </c>
      <c r="B190" t="s">
        <v>282</v>
      </c>
      <c r="C190" t="s">
        <v>14</v>
      </c>
      <c r="D190">
        <v>1536097</v>
      </c>
      <c r="E190">
        <v>14.55</v>
      </c>
      <c r="F190">
        <v>6</v>
      </c>
      <c r="G190" s="2">
        <f t="shared" si="7"/>
        <v>13210.468536426213</v>
      </c>
      <c r="H190" s="2">
        <f t="shared" si="8"/>
        <v>2306547.8064600173</v>
      </c>
      <c r="I190" s="2">
        <f t="shared" si="9"/>
        <v>770450.80646001734</v>
      </c>
      <c r="J190">
        <v>0</v>
      </c>
    </row>
    <row r="191" spans="1:10">
      <c r="A191" t="s">
        <v>283</v>
      </c>
      <c r="B191" t="s">
        <v>23</v>
      </c>
      <c r="C191" t="s">
        <v>11</v>
      </c>
      <c r="D191">
        <v>1972094</v>
      </c>
      <c r="E191">
        <v>10.09</v>
      </c>
      <c r="F191">
        <v>11</v>
      </c>
      <c r="G191" s="2">
        <f t="shared" si="7"/>
        <v>27032.327803411536</v>
      </c>
      <c r="H191" s="2">
        <f t="shared" si="8"/>
        <v>3273074.2504370688</v>
      </c>
      <c r="I191" s="2">
        <f t="shared" si="9"/>
        <v>1300980.2504370688</v>
      </c>
      <c r="J191">
        <v>1</v>
      </c>
    </row>
    <row r="192" spans="1:10">
      <c r="A192" t="s">
        <v>284</v>
      </c>
      <c r="B192" t="s">
        <v>166</v>
      </c>
      <c r="C192" t="s">
        <v>14</v>
      </c>
      <c r="D192">
        <v>769272</v>
      </c>
      <c r="E192">
        <v>13.76</v>
      </c>
      <c r="F192">
        <v>1</v>
      </c>
      <c r="G192" s="2">
        <f t="shared" si="7"/>
        <v>4988.6826483412951</v>
      </c>
      <c r="H192" s="2">
        <f t="shared" si="8"/>
        <v>823731.27889411477</v>
      </c>
      <c r="I192" s="2">
        <f t="shared" si="9"/>
        <v>54459.278894114774</v>
      </c>
      <c r="J192">
        <v>0</v>
      </c>
    </row>
    <row r="193" spans="1:10">
      <c r="A193" t="s">
        <v>285</v>
      </c>
      <c r="B193" t="s">
        <v>71</v>
      </c>
      <c r="C193" t="s">
        <v>17</v>
      </c>
      <c r="D193">
        <v>1642249</v>
      </c>
      <c r="E193">
        <v>11.1</v>
      </c>
      <c r="F193">
        <v>3</v>
      </c>
      <c r="G193" s="2">
        <f t="shared" si="7"/>
        <v>14510.992653262481</v>
      </c>
      <c r="H193" s="2">
        <f t="shared" si="8"/>
        <v>1932864.2214145625</v>
      </c>
      <c r="I193" s="2">
        <f t="shared" si="9"/>
        <v>290615.22141456255</v>
      </c>
      <c r="J193">
        <v>0</v>
      </c>
    </row>
    <row r="194" spans="1:10">
      <c r="A194" t="s">
        <v>286</v>
      </c>
      <c r="B194" t="s">
        <v>192</v>
      </c>
      <c r="C194" t="s">
        <v>17</v>
      </c>
      <c r="D194">
        <v>1485147</v>
      </c>
      <c r="E194">
        <v>12.46</v>
      </c>
      <c r="F194">
        <v>12</v>
      </c>
      <c r="G194" s="2">
        <f t="shared" si="7"/>
        <v>19184.847749291468</v>
      </c>
      <c r="H194" s="2">
        <f t="shared" si="8"/>
        <v>2868518.4354740605</v>
      </c>
      <c r="I194" s="2">
        <f t="shared" si="9"/>
        <v>1383371.4354740605</v>
      </c>
      <c r="J194">
        <v>0</v>
      </c>
    </row>
    <row r="195" spans="1:10">
      <c r="A195" t="s">
        <v>287</v>
      </c>
      <c r="B195" t="s">
        <v>143</v>
      </c>
      <c r="C195" t="s">
        <v>32</v>
      </c>
      <c r="D195">
        <v>1785336</v>
      </c>
      <c r="E195">
        <v>9.85</v>
      </c>
      <c r="F195">
        <v>13</v>
      </c>
      <c r="G195" s="2">
        <f t="shared" ref="G195:G201" si="10">PMT(F195/12/100, E195*12, -D195)</f>
        <v>26855.929228102374</v>
      </c>
      <c r="H195" s="2">
        <f t="shared" ref="H195:H201" si="11">G195*E195*12</f>
        <v>3174370.8347617001</v>
      </c>
      <c r="I195" s="2">
        <f t="shared" ref="I195:I201" si="12">H195-D195</f>
        <v>1389034.8347617001</v>
      </c>
      <c r="J195">
        <v>0</v>
      </c>
    </row>
    <row r="196" spans="1:10">
      <c r="A196" t="s">
        <v>288</v>
      </c>
      <c r="B196" t="s">
        <v>23</v>
      </c>
      <c r="C196" t="s">
        <v>11</v>
      </c>
      <c r="D196">
        <v>1378453</v>
      </c>
      <c r="E196">
        <v>7.66</v>
      </c>
      <c r="F196">
        <v>5</v>
      </c>
      <c r="G196" s="2">
        <f t="shared" si="10"/>
        <v>18081.712960151333</v>
      </c>
      <c r="H196" s="2">
        <f t="shared" si="11"/>
        <v>1662071.0552971107</v>
      </c>
      <c r="I196" s="2">
        <f t="shared" si="12"/>
        <v>283618.0552971107</v>
      </c>
      <c r="J196">
        <v>0</v>
      </c>
    </row>
    <row r="197" spans="1:10">
      <c r="A197" t="s">
        <v>289</v>
      </c>
      <c r="B197" t="s">
        <v>87</v>
      </c>
      <c r="C197" t="s">
        <v>14</v>
      </c>
      <c r="D197">
        <v>252324</v>
      </c>
      <c r="E197">
        <v>9.16</v>
      </c>
      <c r="F197">
        <v>9</v>
      </c>
      <c r="G197" s="2">
        <f t="shared" si="10"/>
        <v>3378.4281089806473</v>
      </c>
      <c r="H197" s="2">
        <f t="shared" si="11"/>
        <v>371356.81773915276</v>
      </c>
      <c r="I197" s="2">
        <f t="shared" si="12"/>
        <v>119032.81773915276</v>
      </c>
      <c r="J197">
        <v>0</v>
      </c>
    </row>
    <row r="198" spans="1:10">
      <c r="A198" t="s">
        <v>290</v>
      </c>
      <c r="B198" t="s">
        <v>82</v>
      </c>
      <c r="C198" t="s">
        <v>14</v>
      </c>
      <c r="D198">
        <v>84342</v>
      </c>
      <c r="E198">
        <v>7.64</v>
      </c>
      <c r="F198">
        <v>3</v>
      </c>
      <c r="G198" s="2">
        <f t="shared" si="10"/>
        <v>1030.5565015203031</v>
      </c>
      <c r="H198" s="2">
        <f t="shared" si="11"/>
        <v>94481.420059381373</v>
      </c>
      <c r="I198" s="2">
        <f t="shared" si="12"/>
        <v>10139.420059381373</v>
      </c>
      <c r="J198">
        <v>0</v>
      </c>
    </row>
    <row r="199" spans="1:10">
      <c r="A199" t="s">
        <v>291</v>
      </c>
      <c r="B199" t="s">
        <v>63</v>
      </c>
      <c r="C199" t="s">
        <v>32</v>
      </c>
      <c r="D199">
        <v>1589276</v>
      </c>
      <c r="E199">
        <v>13.89</v>
      </c>
      <c r="F199">
        <v>10</v>
      </c>
      <c r="G199" s="2">
        <f t="shared" si="10"/>
        <v>17676.6203429784</v>
      </c>
      <c r="H199" s="2">
        <f t="shared" si="11"/>
        <v>2946339.0787676396</v>
      </c>
      <c r="I199" s="2">
        <f t="shared" si="12"/>
        <v>1357063.0787676396</v>
      </c>
      <c r="J199">
        <v>0</v>
      </c>
    </row>
    <row r="200" spans="1:10">
      <c r="A200" t="s">
        <v>292</v>
      </c>
      <c r="B200" t="s">
        <v>173</v>
      </c>
      <c r="C200" t="s">
        <v>11</v>
      </c>
      <c r="D200">
        <v>1197134</v>
      </c>
      <c r="E200">
        <v>13.36</v>
      </c>
      <c r="F200">
        <v>3</v>
      </c>
      <c r="G200" s="2">
        <f t="shared" si="10"/>
        <v>9072.4710815478575</v>
      </c>
      <c r="H200" s="2">
        <f t="shared" si="11"/>
        <v>1454498.5637937523</v>
      </c>
      <c r="I200" s="2">
        <f t="shared" si="12"/>
        <v>257364.56379375234</v>
      </c>
      <c r="J200">
        <v>0</v>
      </c>
    </row>
    <row r="201" spans="1:10">
      <c r="A201" t="s">
        <v>293</v>
      </c>
      <c r="B201" t="s">
        <v>84</v>
      </c>
      <c r="C201" t="s">
        <v>14</v>
      </c>
      <c r="D201">
        <v>1983998</v>
      </c>
      <c r="E201">
        <v>13.11</v>
      </c>
      <c r="F201">
        <v>12</v>
      </c>
      <c r="G201" s="2">
        <f t="shared" si="10"/>
        <v>25082.380987718014</v>
      </c>
      <c r="H201" s="2">
        <f t="shared" si="11"/>
        <v>3945960.176987798</v>
      </c>
      <c r="I201" s="2">
        <f t="shared" si="12"/>
        <v>1961962.176987798</v>
      </c>
      <c r="J201">
        <v>0</v>
      </c>
    </row>
  </sheetData>
  <mergeCells count="1">
    <mergeCell ref="M13:M14"/>
  </mergeCells>
  <phoneticPr fontId="3" type="noConversion"/>
  <conditionalFormatting sqref="A2:J201">
    <cfRule type="expression" dxfId="5" priority="2">
      <formula>$J2=0</formula>
    </cfRule>
    <cfRule type="expression" dxfId="4" priority="5">
      <formula>$J2=0</formula>
    </cfRule>
    <cfRule type="expression" dxfId="3" priority="6">
      <formula>$J2=1</formula>
    </cfRule>
  </conditionalFormatting>
  <conditionalFormatting sqref="E2">
    <cfRule type="cellIs" dxfId="2" priority="4" operator="greaterThanOrEqual">
      <formula>12</formula>
    </cfRule>
  </conditionalFormatting>
  <conditionalFormatting sqref="E1:E1048576">
    <cfRule type="cellIs" dxfId="1" priority="1" operator="greaterThan">
      <formula>12</formula>
    </cfRule>
    <cfRule type="cellIs" dxfId="0" priority="3" operator="greaterThanOrEqual">
      <formula>12</formula>
    </cfRule>
  </conditionalFormatting>
  <hyperlinks>
    <hyperlink ref="M13:M14" location="'Summary Statistics'!A1" display="Summary --&gt;" xr:uid="{1C3E7683-DC0F-4109-918E-2E9B23BF4337}"/>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8D6E-40E1-40F0-B13C-83324493B8F5}">
  <dimension ref="A1:L10"/>
  <sheetViews>
    <sheetView showRowColHeaders="0" workbookViewId="0">
      <selection activeCell="H5" sqref="H5:H6"/>
    </sheetView>
  </sheetViews>
  <sheetFormatPr defaultRowHeight="14.4"/>
  <cols>
    <col min="1" max="1" width="9.44140625" customWidth="1"/>
    <col min="2" max="2" width="9" customWidth="1"/>
    <col min="3" max="3" width="17.77734375" style="2" customWidth="1"/>
    <col min="4" max="4" width="11.21875" style="2" customWidth="1"/>
    <col min="5" max="5" width="16.44140625" style="2" customWidth="1"/>
    <col min="6" max="6" width="12.77734375" style="1" customWidth="1"/>
  </cols>
  <sheetData>
    <row r="1" spans="1:12" ht="18">
      <c r="A1" s="7" t="s">
        <v>307</v>
      </c>
      <c r="B1" s="7"/>
      <c r="C1" s="7"/>
      <c r="D1" s="7"/>
      <c r="E1" s="7"/>
      <c r="F1" s="7"/>
    </row>
    <row r="3" spans="1:12">
      <c r="A3" s="9" t="s">
        <v>308</v>
      </c>
      <c r="B3" s="10" t="s">
        <v>309</v>
      </c>
      <c r="C3" s="11" t="s">
        <v>310</v>
      </c>
      <c r="D3" s="11" t="s">
        <v>311</v>
      </c>
      <c r="E3" s="11" t="s">
        <v>312</v>
      </c>
      <c r="F3" s="12" t="s">
        <v>303</v>
      </c>
    </row>
    <row r="4" spans="1:12">
      <c r="A4" t="s">
        <v>17</v>
      </c>
      <c r="B4">
        <f>COUNTIF('Raw data'!$C$2:$C$201, A4)</f>
        <v>43</v>
      </c>
      <c r="C4" s="2">
        <f>SUMIF('Raw data'!$C$2:$C$201, A4, 'Raw data'!$D$2:$D$201)</f>
        <v>40590839</v>
      </c>
      <c r="D4" s="2">
        <f>AVERAGEIF('Raw data'!$C$2:$C$201, A4, 'Raw data'!$D$2:$D$201)</f>
        <v>943973</v>
      </c>
      <c r="E4" s="2">
        <f>AVERAGEIF('Raw data'!$C$2:$C$201, A4, 'Raw data'!$F$2:$F$201)</f>
        <v>11.069767441860465</v>
      </c>
      <c r="F4" s="1">
        <f>AVERAGEIF('Raw data'!$C$2:$C$201, A4, 'Raw data'!$J$2:$J$201)</f>
        <v>0.18604651162790697</v>
      </c>
    </row>
    <row r="5" spans="1:12">
      <c r="A5" t="s">
        <v>11</v>
      </c>
      <c r="B5">
        <f>COUNTIF('Raw data'!$C$2:$C$201, A5)</f>
        <v>52</v>
      </c>
      <c r="C5" s="2">
        <f>SUMIF('Raw data'!$C$2:$C$201, A5, 'Raw data'!$D$2:$D$201)</f>
        <v>52905599</v>
      </c>
      <c r="D5" s="2">
        <f>AVERAGEIF('Raw data'!$C$2:$C$201, A5, 'Raw data'!$D$2:$D$201)</f>
        <v>1017415.3653846154</v>
      </c>
      <c r="E5" s="2">
        <f>AVERAGEIF('Raw data'!$C$2:$C$201, A5, 'Raw data'!$F$2:$F$201)</f>
        <v>9.9807692307692299</v>
      </c>
      <c r="F5" s="1">
        <f>AVERAGEIF('Raw data'!$C$2:$C$201, A5, 'Raw data'!$J$2:$J$201)</f>
        <v>0.25</v>
      </c>
      <c r="H5" s="25" t="s">
        <v>325</v>
      </c>
    </row>
    <row r="6" spans="1:12">
      <c r="A6" t="s">
        <v>32</v>
      </c>
      <c r="B6">
        <f>COUNTIF('Raw data'!$C$2:$C$201, A6)</f>
        <v>42</v>
      </c>
      <c r="C6" s="2">
        <f>SUMIF('Raw data'!$C$2:$C$201, A6, 'Raw data'!$D$2:$D$201)</f>
        <v>49907797</v>
      </c>
      <c r="D6" s="2">
        <f>AVERAGEIF('Raw data'!$C$2:$C$201, A6, 'Raw data'!$D$2:$D$201)</f>
        <v>1188280.8809523811</v>
      </c>
      <c r="E6" s="2">
        <f>AVERAGEIF('Raw data'!$C$2:$C$201, A6, 'Raw data'!$F$2:$F$201)</f>
        <v>11.047619047619047</v>
      </c>
      <c r="F6" s="1">
        <f>AVERAGEIF('Raw data'!$C$2:$C$201, A6, 'Raw data'!$J$2:$J$201)</f>
        <v>0.11904761904761904</v>
      </c>
      <c r="H6" s="23"/>
    </row>
    <row r="7" spans="1:12">
      <c r="A7" t="s">
        <v>14</v>
      </c>
      <c r="B7">
        <f>COUNTIF('Raw data'!$C$2:$C$201, A7)</f>
        <v>63</v>
      </c>
      <c r="C7" s="2">
        <f>SUMIF('Raw data'!$C$2:$C$201, A7, 'Raw data'!$D$2:$D$201)</f>
        <v>59504057</v>
      </c>
      <c r="D7" s="2">
        <f>AVERAGEIF('Raw data'!$C$2:$C$201, A7, 'Raw data'!$D$2:$D$201)</f>
        <v>944508.8412698413</v>
      </c>
      <c r="E7" s="2">
        <f>AVERAGEIF('Raw data'!$C$2:$C$201, A7, 'Raw data'!$F$2:$F$201)</f>
        <v>10.571428571428571</v>
      </c>
      <c r="F7" s="1">
        <f>AVERAGEIF('Raw data'!$C$2:$C$201, A7, 'Raw data'!$J$2:$J$201)</f>
        <v>0.20634920634920634</v>
      </c>
    </row>
    <row r="8" spans="1:12">
      <c r="A8" t="s">
        <v>313</v>
      </c>
      <c r="B8">
        <f>SUM(B4:B7)</f>
        <v>200</v>
      </c>
      <c r="C8" s="2">
        <f>SUM(C4:C7)</f>
        <v>202908292</v>
      </c>
      <c r="D8" s="2">
        <f>AVERAGE(D4:D7)</f>
        <v>1023544.5219017095</v>
      </c>
      <c r="E8" s="2">
        <f>AVERAGE(E4:E7)</f>
        <v>10.667396072919328</v>
      </c>
      <c r="F8" s="1">
        <f>AVERAGE(F4:F7)</f>
        <v>0.19036083425618311</v>
      </c>
    </row>
    <row r="10" spans="1:12">
      <c r="H10" s="8"/>
      <c r="I10" s="8"/>
      <c r="J10" s="8"/>
      <c r="K10" s="8"/>
      <c r="L10" s="8"/>
    </row>
  </sheetData>
  <mergeCells count="2">
    <mergeCell ref="A1:F1"/>
    <mergeCell ref="H5:H6"/>
  </mergeCells>
  <hyperlinks>
    <hyperlink ref="H5:H6" location="'Pivot Analysis'!A1" display="Pivot --&gt;" xr:uid="{B8991706-96AB-44CC-9368-6648446FA83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0F1B-BA04-4F70-B6C7-EF91BF8134AE}">
  <dimension ref="A3:G25"/>
  <sheetViews>
    <sheetView showRowColHeaders="0" workbookViewId="0">
      <selection activeCell="G11" sqref="G11:G12"/>
    </sheetView>
  </sheetViews>
  <sheetFormatPr defaultRowHeight="14.4"/>
  <cols>
    <col min="1" max="1" width="12.5546875" bestFit="1" customWidth="1"/>
    <col min="2" max="2" width="11.5546875" bestFit="1" customWidth="1"/>
    <col min="3" max="3" width="13.109375" bestFit="1" customWidth="1"/>
    <col min="4" max="4" width="21.33203125" style="1" bestFit="1" customWidth="1"/>
  </cols>
  <sheetData>
    <row r="3" spans="1:7">
      <c r="A3" s="13" t="s">
        <v>314</v>
      </c>
      <c r="B3" t="s">
        <v>317</v>
      </c>
      <c r="C3" t="s">
        <v>316</v>
      </c>
      <c r="D3" s="1" t="s">
        <v>318</v>
      </c>
    </row>
    <row r="4" spans="1:7">
      <c r="A4" s="14" t="s">
        <v>17</v>
      </c>
      <c r="B4" s="15">
        <v>43</v>
      </c>
      <c r="C4" s="15">
        <v>40590839</v>
      </c>
      <c r="D4" s="1">
        <v>0.18604651162790697</v>
      </c>
    </row>
    <row r="5" spans="1:7">
      <c r="A5" s="14" t="s">
        <v>11</v>
      </c>
      <c r="B5" s="15">
        <v>52</v>
      </c>
      <c r="C5" s="15">
        <v>52905599</v>
      </c>
      <c r="D5" s="1">
        <v>0.25</v>
      </c>
    </row>
    <row r="6" spans="1:7">
      <c r="A6" s="14" t="s">
        <v>32</v>
      </c>
      <c r="B6" s="15">
        <v>42</v>
      </c>
      <c r="C6" s="15">
        <v>49907797</v>
      </c>
      <c r="D6" s="1">
        <v>0.11904761904761904</v>
      </c>
    </row>
    <row r="7" spans="1:7">
      <c r="A7" s="14" t="s">
        <v>14</v>
      </c>
      <c r="B7" s="15">
        <v>63</v>
      </c>
      <c r="C7" s="15">
        <v>59504057</v>
      </c>
      <c r="D7" s="1">
        <v>0.20634920634920634</v>
      </c>
    </row>
    <row r="8" spans="1:7">
      <c r="A8" s="14" t="s">
        <v>315</v>
      </c>
      <c r="B8" s="15">
        <v>200</v>
      </c>
      <c r="C8" s="15">
        <v>202908292</v>
      </c>
      <c r="D8" s="1">
        <v>0.19500000000000001</v>
      </c>
    </row>
    <row r="11" spans="1:7">
      <c r="G11" s="24" t="s">
        <v>328</v>
      </c>
    </row>
    <row r="12" spans="1:7">
      <c r="G12" s="24"/>
    </row>
    <row r="20" spans="1:3">
      <c r="A20" s="13" t="s">
        <v>314</v>
      </c>
      <c r="B20" t="s">
        <v>319</v>
      </c>
      <c r="C20" t="s">
        <v>311</v>
      </c>
    </row>
    <row r="21" spans="1:3">
      <c r="A21" s="14" t="s">
        <v>17</v>
      </c>
      <c r="B21" s="15">
        <v>476</v>
      </c>
      <c r="C21" s="15">
        <v>40590839</v>
      </c>
    </row>
    <row r="22" spans="1:3">
      <c r="A22" s="14" t="s">
        <v>11</v>
      </c>
      <c r="B22" s="15">
        <v>519</v>
      </c>
      <c r="C22" s="15">
        <v>52905599</v>
      </c>
    </row>
    <row r="23" spans="1:3">
      <c r="A23" s="14" t="s">
        <v>32</v>
      </c>
      <c r="B23" s="15">
        <v>464</v>
      </c>
      <c r="C23" s="15">
        <v>49907797</v>
      </c>
    </row>
    <row r="24" spans="1:3">
      <c r="A24" s="14" t="s">
        <v>14</v>
      </c>
      <c r="B24" s="15">
        <v>666</v>
      </c>
      <c r="C24" s="15">
        <v>59504057</v>
      </c>
    </row>
    <row r="25" spans="1:3">
      <c r="A25" s="14" t="s">
        <v>315</v>
      </c>
      <c r="B25" s="15">
        <v>2125</v>
      </c>
      <c r="C25" s="15">
        <v>202908292</v>
      </c>
    </row>
  </sheetData>
  <mergeCells count="1">
    <mergeCell ref="G11:G12"/>
  </mergeCells>
  <hyperlinks>
    <hyperlink ref="G11:G12" location="Charts!A1" display="Chart--&gt;" xr:uid="{B9B4B3A7-7C46-4EF7-BED8-D285C84F96AB}"/>
  </hyperlink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F8992-D8F5-44FB-A894-17298BDEC3B2}">
  <dimension ref="A1"/>
  <sheetViews>
    <sheetView showGridLines="0" showRowColHeaders="0" workbookViewId="0">
      <selection activeCell="K22" sqref="K22"/>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 data</vt:lpstr>
      <vt:lpstr>Summary Statistics</vt:lpstr>
      <vt:lpstr>Pivot 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 kude</cp:lastModifiedBy>
  <dcterms:created xsi:type="dcterms:W3CDTF">2026-04-24T10:35:01Z</dcterms:created>
  <dcterms:modified xsi:type="dcterms:W3CDTF">2026-04-25T11:28:48Z</dcterms:modified>
</cp:coreProperties>
</file>